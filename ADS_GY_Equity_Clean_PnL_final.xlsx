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8C2C36F-6E5C-475C-9DDC-81F691F3B1D0}" xr6:coauthVersionLast="47" xr6:coauthVersionMax="47" xr10:uidLastSave="{00000000-0000-0000-0000-000000000000}"/>
  <bookViews>
    <workbookView xWindow="-108" yWindow="-108" windowWidth="23256" windowHeight="12456" firstSheet="11" activeTab="13" xr2:uid="{00000000-000D-0000-FFFF-FFFF00000000}"/>
  </bookViews>
  <sheets>
    <sheet name="clean pnl" sheetId="1" r:id="rId1"/>
    <sheet name="lookup tables" sheetId="2" r:id="rId2"/>
    <sheet name="MASTER P&amp;L" sheetId="3" r:id="rId3"/>
    <sheet name="Trend Analysis(Stage4-Q1)" sheetId="4" r:id="rId4"/>
    <sheet name="CAGR(Stage4-Q2)" sheetId="5" r:id="rId5"/>
    <sheet name="Index Tables(Stage4-Q3)" sheetId="6" r:id="rId6"/>
    <sheet name="Stage4-Q4" sheetId="7" r:id="rId7"/>
    <sheet name="Stage4-Q5" sheetId="8" r:id="rId8"/>
    <sheet name="Stage 5 -Q1" sheetId="9" r:id="rId9"/>
    <sheet name="Stage5-Q2" sheetId="10" r:id="rId10"/>
    <sheet name="Stage5-Q3" sheetId="11" r:id="rId11"/>
    <sheet name="Stage5-Q4,Q5" sheetId="12" r:id="rId12"/>
    <sheet name="Stage5-Q6" sheetId="13" r:id="rId13"/>
    <sheet name="Stage6-Q1(1)" sheetId="15" r:id="rId14"/>
    <sheet name="Stage6-Q1(2),Q2" sheetId="14" r:id="rId15"/>
    <sheet name="Stage6-Q4" sheetId="16" r:id="rId16"/>
    <sheet name="Stage6-Q5" sheetId="19" r:id="rId17"/>
    <sheet name="Stage6-Q6" sheetId="20" r:id="rId18"/>
    <sheet name="Formatted Master P&amp;L(Stasge7)" sheetId="21" r:id="rId19"/>
    <sheet name="Stage7-chart1" sheetId="22" r:id="rId20"/>
    <sheet name="Stage7-chart2" sheetId="23" r:id="rId21"/>
    <sheet name="Stage7-chart3" sheetId="24" r:id="rId22"/>
    <sheet name="Stage7-chart4" sheetId="25" r:id="rId23"/>
    <sheet name="summary sheet (Stage7-Q6)" sheetId="26" r:id="rId24"/>
    <sheet name="PBI_Product" sheetId="30" state="hidden" r:id="rId25"/>
    <sheet name="PBI_P&amp;L" sheetId="29" state="hidden" r:id="rId26"/>
    <sheet name="PBI_Region" sheetId="33" state="hidden" r:id="rId27"/>
    <sheet name="PBI_reg" sheetId="31" state="hidden" r:id="rId28"/>
    <sheet name="PBI_Brand" sheetId="34" state="hidden" r:id="rId29"/>
    <sheet name="PBI_Employee" sheetId="35" state="hidden" r:id="rId30"/>
    <sheet name="PBI_DISTRIBUTION CHANNEL" sheetId="40" state="hidden" r:id="rId31"/>
  </sheets>
  <definedNames>
    <definedName name="_xlnm.Print_Area" localSheetId="23">'summary sheet (Stage7-Q6)'!$A$1:$X$28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1" l="1"/>
  <c r="D5" i="11"/>
  <c r="E5" i="11"/>
  <c r="F5" i="11"/>
  <c r="G5" i="11"/>
  <c r="H5" i="11"/>
  <c r="I5" i="11"/>
  <c r="C4" i="11"/>
  <c r="D4" i="11"/>
  <c r="E4" i="11"/>
  <c r="F4" i="11"/>
  <c r="G4" i="11"/>
  <c r="H4" i="11"/>
  <c r="I4" i="11"/>
  <c r="B5" i="11"/>
  <c r="B4" i="11"/>
  <c r="C3" i="11"/>
  <c r="D3" i="11"/>
  <c r="E3" i="11"/>
  <c r="F3" i="11"/>
  <c r="G3" i="11"/>
  <c r="H3" i="11"/>
  <c r="I3" i="11"/>
  <c r="B3" i="11"/>
  <c r="C2" i="11"/>
  <c r="D2" i="11"/>
  <c r="E2" i="11"/>
  <c r="F2" i="11"/>
  <c r="G2" i="11"/>
  <c r="H2" i="11"/>
  <c r="I2" i="11"/>
  <c r="B2" i="11"/>
  <c r="B36" i="21"/>
  <c r="I30" i="21"/>
  <c r="H30" i="21"/>
  <c r="G30" i="21"/>
  <c r="F30" i="21"/>
  <c r="E30" i="21"/>
  <c r="D30" i="21"/>
  <c r="C30" i="21"/>
  <c r="B30" i="21"/>
  <c r="I24" i="21"/>
  <c r="H24" i="21"/>
  <c r="G24" i="21"/>
  <c r="F24" i="21"/>
  <c r="E24" i="21"/>
  <c r="D24" i="21"/>
  <c r="C24" i="21"/>
  <c r="B24" i="21"/>
  <c r="I13" i="21"/>
  <c r="H13" i="21"/>
  <c r="H2" i="23" s="1"/>
  <c r="G13" i="21"/>
  <c r="F13" i="21"/>
  <c r="E13" i="21"/>
  <c r="D13" i="21"/>
  <c r="D2" i="23" s="1"/>
  <c r="C13" i="21"/>
  <c r="C2" i="23" s="1"/>
  <c r="B13" i="21"/>
  <c r="B2" i="23" s="1"/>
  <c r="H9" i="21"/>
  <c r="E9" i="21"/>
  <c r="F9" i="21"/>
  <c r="G9" i="21"/>
  <c r="I9" i="21"/>
  <c r="D9" i="21"/>
  <c r="C9" i="21"/>
  <c r="B9" i="21"/>
  <c r="F12" i="21" a="1"/>
  <c r="C2" i="29"/>
  <c r="C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B27" i="29"/>
  <c r="B3" i="29"/>
  <c r="B2" i="29"/>
  <c r="B4" i="29"/>
  <c r="B5" i="29"/>
  <c r="B6" i="29"/>
  <c r="B7" i="29"/>
  <c r="B8" i="29"/>
  <c r="B9" i="29"/>
  <c r="B10" i="29"/>
  <c r="B11" i="29"/>
  <c r="B12" i="29"/>
  <c r="B13" i="29"/>
  <c r="B14" i="29"/>
  <c r="B15" i="29"/>
  <c r="B16" i="29"/>
  <c r="B17" i="29"/>
  <c r="B18" i="29"/>
  <c r="B19" i="29"/>
  <c r="B20" i="29"/>
  <c r="B21" i="29"/>
  <c r="B22" i="29"/>
  <c r="B23" i="29"/>
  <c r="B24" i="29"/>
  <c r="B25" i="29"/>
  <c r="B26" i="29"/>
  <c r="B28" i="29"/>
  <c r="B29" i="29"/>
  <c r="I1" i="24"/>
  <c r="C1" i="24"/>
  <c r="D1" i="24"/>
  <c r="E1" i="24"/>
  <c r="F1" i="24"/>
  <c r="G1" i="24"/>
  <c r="H1" i="24"/>
  <c r="B1" i="24"/>
  <c r="I1" i="23"/>
  <c r="C1" i="23"/>
  <c r="D1" i="23"/>
  <c r="E1" i="23"/>
  <c r="F1" i="23"/>
  <c r="G1" i="23"/>
  <c r="H1" i="23"/>
  <c r="B1" i="23"/>
  <c r="I1" i="22"/>
  <c r="C1" i="22"/>
  <c r="D1" i="22"/>
  <c r="E1" i="22"/>
  <c r="F1" i="22"/>
  <c r="G1" i="22"/>
  <c r="H1" i="22"/>
  <c r="B1" i="22"/>
  <c r="B40" i="21" a="1"/>
  <c r="B5" i="21" a="1"/>
  <c r="I6" i="21" a="1"/>
  <c r="I7" i="21" a="1"/>
  <c r="I8" i="21" a="1"/>
  <c r="I11" i="21" a="1"/>
  <c r="I12" i="21" a="1"/>
  <c r="I2" i="23"/>
  <c r="I15" i="21" a="1"/>
  <c r="I16" i="21" a="1"/>
  <c r="I17" i="21" a="1"/>
  <c r="I2" i="24" s="1"/>
  <c r="I18" i="21" a="1"/>
  <c r="I3" i="24" s="1"/>
  <c r="I19" i="21" a="1"/>
  <c r="I4" i="24" s="1"/>
  <c r="I20" i="21" a="1"/>
  <c r="I5" i="24" s="1"/>
  <c r="I21" i="21" a="1"/>
  <c r="I22" i="21" a="1"/>
  <c r="I6" i="24" s="1"/>
  <c r="I23" i="21" a="1"/>
  <c r="I26" i="21" a="1"/>
  <c r="I27" i="21" a="1"/>
  <c r="I28" i="21" a="1"/>
  <c r="I29" i="21" a="1"/>
  <c r="I32" i="21" a="1"/>
  <c r="I33" i="21" a="1"/>
  <c r="I34" i="21" a="1"/>
  <c r="I35" i="21" a="1"/>
  <c r="I36" i="21" s="1"/>
  <c r="I4" i="23" s="1"/>
  <c r="I38" i="21" a="1"/>
  <c r="I39" i="21" a="1"/>
  <c r="I40" i="21" a="1"/>
  <c r="I41" i="21" a="1"/>
  <c r="I42" i="21" a="1"/>
  <c r="I5" i="21" a="1"/>
  <c r="H6" i="21" a="1"/>
  <c r="H7" i="21" a="1"/>
  <c r="H8" i="21" a="1"/>
  <c r="H11" i="21" a="1"/>
  <c r="H12" i="21" a="1"/>
  <c r="H15" i="21" a="1"/>
  <c r="H16" i="21" a="1"/>
  <c r="H17" i="21" a="1"/>
  <c r="H2" i="24" s="1"/>
  <c r="H18" i="21" a="1"/>
  <c r="H3" i="24" s="1"/>
  <c r="H19" i="21" a="1"/>
  <c r="H20" i="21" a="1"/>
  <c r="H21" i="21" a="1"/>
  <c r="H22" i="21" a="1"/>
  <c r="H23" i="21" a="1"/>
  <c r="H26" i="21" a="1"/>
  <c r="H27" i="21" a="1"/>
  <c r="H28" i="21" a="1"/>
  <c r="H29" i="21" a="1"/>
  <c r="H32" i="21" a="1"/>
  <c r="H33" i="21" a="1"/>
  <c r="H34" i="21" a="1"/>
  <c r="H35" i="21" a="1"/>
  <c r="H38" i="21" a="1"/>
  <c r="H39" i="21" a="1"/>
  <c r="H40" i="21" a="1"/>
  <c r="H41" i="21" a="1"/>
  <c r="H42" i="21" a="1"/>
  <c r="H5" i="21" a="1"/>
  <c r="G6" i="21" a="1"/>
  <c r="G7" i="21" a="1"/>
  <c r="G8" i="21" a="1"/>
  <c r="G11" i="21" a="1"/>
  <c r="G12" i="21" a="1"/>
  <c r="G2" i="23"/>
  <c r="G15" i="21" a="1"/>
  <c r="G16" i="21" a="1"/>
  <c r="G17" i="21" a="1"/>
  <c r="G2" i="24" s="1"/>
  <c r="G18" i="21" a="1"/>
  <c r="G3" i="24" s="1"/>
  <c r="G19" i="21" a="1"/>
  <c r="G4" i="24" s="1"/>
  <c r="G20" i="21" a="1"/>
  <c r="G5" i="24" s="1"/>
  <c r="G21" i="21" a="1"/>
  <c r="G22" i="21" a="1"/>
  <c r="G6" i="24" s="1"/>
  <c r="G23" i="21" a="1"/>
  <c r="G26" i="21" a="1"/>
  <c r="G27" i="21" a="1"/>
  <c r="G28" i="21" a="1"/>
  <c r="G29" i="21" a="1"/>
  <c r="G32" i="21" a="1"/>
  <c r="G33" i="21" a="1"/>
  <c r="G34" i="21" a="1"/>
  <c r="G35" i="21" a="1"/>
  <c r="G36" i="21" s="1"/>
  <c r="G4" i="23" s="1"/>
  <c r="G38" i="21" a="1"/>
  <c r="G39" i="21" a="1"/>
  <c r="G40" i="21" a="1"/>
  <c r="G41" i="21" a="1"/>
  <c r="G42" i="21" a="1"/>
  <c r="G5" i="21" a="1"/>
  <c r="F6" i="21" a="1"/>
  <c r="F7" i="21" a="1"/>
  <c r="F8" i="21" a="1"/>
  <c r="F11" i="21" a="1"/>
  <c r="F2" i="23"/>
  <c r="F15" i="21" a="1"/>
  <c r="F16" i="21" a="1"/>
  <c r="F17" i="21" a="1"/>
  <c r="F2" i="24" s="1"/>
  <c r="F18" i="21" a="1"/>
  <c r="F3" i="24" s="1"/>
  <c r="F19" i="21" a="1"/>
  <c r="F4" i="24" s="1"/>
  <c r="F20" i="21" a="1"/>
  <c r="F5" i="24" s="1"/>
  <c r="F21" i="21" a="1"/>
  <c r="F22" i="21" a="1"/>
  <c r="F6" i="24" s="1"/>
  <c r="F23" i="21" a="1"/>
  <c r="F26" i="21" a="1"/>
  <c r="F27" i="21" a="1"/>
  <c r="F28" i="21" a="1"/>
  <c r="F29" i="21" a="1"/>
  <c r="F32" i="21" a="1"/>
  <c r="F33" i="21" a="1"/>
  <c r="F34" i="21" a="1"/>
  <c r="F35" i="21" a="1"/>
  <c r="F38" i="21" a="1"/>
  <c r="F39" i="21" a="1"/>
  <c r="F40" i="21" a="1"/>
  <c r="F41" i="21" a="1"/>
  <c r="F42" i="21" a="1"/>
  <c r="F5" i="21" a="1"/>
  <c r="E6" i="21" a="1"/>
  <c r="E7" i="21" a="1"/>
  <c r="E8" i="21" a="1"/>
  <c r="E11" i="21" a="1"/>
  <c r="E12" i="21" a="1"/>
  <c r="E2" i="23"/>
  <c r="E15" i="21" a="1"/>
  <c r="E16" i="21" a="1"/>
  <c r="E17" i="21" a="1"/>
  <c r="E2" i="24" s="1"/>
  <c r="E18" i="21" a="1"/>
  <c r="E3" i="24" s="1"/>
  <c r="E19" i="21" a="1"/>
  <c r="E4" i="24" s="1"/>
  <c r="E20" i="21" a="1"/>
  <c r="E5" i="24" s="1"/>
  <c r="E21" i="21" a="1"/>
  <c r="E22" i="21" a="1"/>
  <c r="E6" i="24" s="1"/>
  <c r="E23" i="21" a="1"/>
  <c r="E26" i="21" a="1"/>
  <c r="E27" i="21" a="1"/>
  <c r="E28" i="21" a="1"/>
  <c r="E29" i="21" a="1"/>
  <c r="E32" i="21" a="1"/>
  <c r="E33" i="21" a="1"/>
  <c r="E34" i="21" a="1"/>
  <c r="E35" i="21" a="1"/>
  <c r="E36" i="21" s="1"/>
  <c r="E4" i="23" s="1"/>
  <c r="E38" i="21" a="1"/>
  <c r="E39" i="21" a="1"/>
  <c r="E40" i="21" a="1"/>
  <c r="E41" i="21" a="1"/>
  <c r="E42" i="21" a="1"/>
  <c r="E5" i="21" a="1"/>
  <c r="D6" i="21" a="1"/>
  <c r="D7" i="21" a="1"/>
  <c r="D8" i="21" a="1"/>
  <c r="D11" i="21" a="1"/>
  <c r="D12" i="21" a="1"/>
  <c r="D15" i="21" a="1"/>
  <c r="D16" i="21" a="1"/>
  <c r="D17" i="21" a="1"/>
  <c r="D2" i="24" s="1"/>
  <c r="D18" i="21" a="1"/>
  <c r="D3" i="24" s="1"/>
  <c r="D19" i="21" a="1"/>
  <c r="D4" i="24" s="1"/>
  <c r="D20" i="21" a="1"/>
  <c r="D5" i="24" s="1"/>
  <c r="D21" i="21" a="1"/>
  <c r="D22" i="21" a="1"/>
  <c r="D6" i="24" s="1"/>
  <c r="D23" i="21" a="1"/>
  <c r="D26" i="21" a="1"/>
  <c r="D27" i="21" a="1"/>
  <c r="D28" i="21" a="1"/>
  <c r="D29" i="21" a="1"/>
  <c r="D32" i="21" a="1"/>
  <c r="D33" i="21" a="1"/>
  <c r="D34" i="21" a="1"/>
  <c r="D35" i="21" a="1"/>
  <c r="D36" i="21" s="1"/>
  <c r="D4" i="23" s="1"/>
  <c r="D38" i="21" a="1"/>
  <c r="D39" i="21" a="1"/>
  <c r="D40" i="21" a="1"/>
  <c r="D41" i="21" a="1"/>
  <c r="D42" i="21" a="1"/>
  <c r="D5" i="21" a="1"/>
  <c r="C6" i="21" a="1"/>
  <c r="C7" i="21" a="1"/>
  <c r="C8" i="21" a="1"/>
  <c r="C11" i="21" a="1"/>
  <c r="C12" i="21" a="1"/>
  <c r="C15" i="21" a="1"/>
  <c r="C16" i="21" a="1"/>
  <c r="C17" i="21" a="1"/>
  <c r="C2" i="24" s="1"/>
  <c r="C18" i="21" a="1"/>
  <c r="C3" i="24" s="1"/>
  <c r="C19" i="21" a="1"/>
  <c r="C4" i="24" s="1"/>
  <c r="C20" i="21" a="1"/>
  <c r="C5" i="24" s="1"/>
  <c r="C21" i="21" a="1"/>
  <c r="C22" i="21" a="1"/>
  <c r="C6" i="24" s="1"/>
  <c r="C23" i="21" a="1"/>
  <c r="C26" i="21" a="1"/>
  <c r="C27" i="21" a="1"/>
  <c r="C28" i="21" a="1"/>
  <c r="C29" i="21" a="1"/>
  <c r="C32" i="21" a="1"/>
  <c r="C33" i="21" a="1"/>
  <c r="C34" i="21" a="1"/>
  <c r="C35" i="21" a="1"/>
  <c r="C36" i="21" s="1"/>
  <c r="C4" i="23" s="1"/>
  <c r="C38" i="21" a="1"/>
  <c r="C39" i="21" a="1"/>
  <c r="C40" i="21" a="1"/>
  <c r="C41" i="21" a="1"/>
  <c r="C42" i="21" a="1"/>
  <c r="C5" i="21" a="1"/>
  <c r="B6" i="21" a="1"/>
  <c r="B7" i="21" a="1"/>
  <c r="B8" i="21" a="1"/>
  <c r="B11" i="21" a="1"/>
  <c r="B12" i="21" a="1"/>
  <c r="B15" i="21" a="1"/>
  <c r="B16" i="21" a="1"/>
  <c r="B17" i="21" a="1"/>
  <c r="B2" i="24" s="1"/>
  <c r="B18" i="21" a="1"/>
  <c r="B3" i="24" s="1"/>
  <c r="B19" i="21" a="1"/>
  <c r="B4" i="24" s="1"/>
  <c r="B20" i="21" a="1"/>
  <c r="B5" i="24" s="1"/>
  <c r="B21" i="21" a="1"/>
  <c r="B22" i="21" a="1"/>
  <c r="B6" i="24" s="1"/>
  <c r="B23" i="21" a="1"/>
  <c r="B26" i="21" a="1"/>
  <c r="B27" i="21" a="1"/>
  <c r="B28" i="21" a="1"/>
  <c r="B29" i="21" a="1"/>
  <c r="B32" i="21" a="1"/>
  <c r="B33" i="21" a="1"/>
  <c r="B34" i="21" a="1"/>
  <c r="B35" i="21" a="1"/>
  <c r="B4" i="23" s="1"/>
  <c r="B38" i="21" a="1"/>
  <c r="B39" i="21" a="1"/>
  <c r="B41" i="21" a="1"/>
  <c r="B42" i="21" a="1"/>
  <c r="B3" i="3" a="1"/>
  <c r="D8" i="20"/>
  <c r="D9" i="20"/>
  <c r="D10" i="20"/>
  <c r="D11" i="20"/>
  <c r="D12" i="20"/>
  <c r="D13" i="20"/>
  <c r="D7" i="20"/>
  <c r="D6" i="20"/>
  <c r="A16" i="19"/>
  <c r="A13" i="19"/>
  <c r="B17" i="14"/>
  <c r="B14" i="14"/>
  <c r="C4" i="14"/>
  <c r="C3" i="14"/>
  <c r="C2" i="14"/>
  <c r="B4" i="14"/>
  <c r="B3" i="14"/>
  <c r="B2" i="14"/>
  <c r="C5" i="14"/>
  <c r="J16" i="5"/>
  <c r="J17" i="5" s="1"/>
  <c r="J18" i="5" s="1"/>
  <c r="I3" i="3" a="1"/>
  <c r="I4" i="3" a="1"/>
  <c r="I5" i="3" a="1"/>
  <c r="I6" i="3" a="1"/>
  <c r="I2" i="22" s="1"/>
  <c r="I7" i="3" a="1"/>
  <c r="I8" i="3" a="1"/>
  <c r="I9" i="3" a="1"/>
  <c r="I10" i="3" a="1"/>
  <c r="I11" i="3" a="1"/>
  <c r="I12" i="3" a="1"/>
  <c r="I13" i="3" a="1"/>
  <c r="I14" i="3" a="1"/>
  <c r="I15" i="3" a="1"/>
  <c r="I16" i="3" a="1"/>
  <c r="I17" i="3" a="1"/>
  <c r="I18" i="3" a="1"/>
  <c r="I19" i="3" a="1"/>
  <c r="I20" i="3" a="1"/>
  <c r="I21" i="3" a="1"/>
  <c r="I22" i="3" a="1"/>
  <c r="I23" i="3" a="1"/>
  <c r="C7" i="12" s="1"/>
  <c r="I24" i="3" a="1"/>
  <c r="I25" i="3" a="1"/>
  <c r="C2" i="12" s="1"/>
  <c r="I26" i="3" a="1"/>
  <c r="C3" i="12" s="1"/>
  <c r="I27" i="3" a="1"/>
  <c r="C4" i="12" s="1"/>
  <c r="I28" i="3" a="1"/>
  <c r="I29" i="3" a="1"/>
  <c r="E3" i="13" s="1"/>
  <c r="I30" i="3" a="1"/>
  <c r="I31" i="3" a="1"/>
  <c r="I32" i="3" a="1"/>
  <c r="I33" i="3" a="1"/>
  <c r="I34" i="3" a="1"/>
  <c r="I35" i="3" a="1"/>
  <c r="I36" i="3" a="1"/>
  <c r="O3" i="12" s="1"/>
  <c r="I37" i="3" a="1"/>
  <c r="I38" i="3" a="1"/>
  <c r="I39" i="3" a="1"/>
  <c r="I40" i="3" a="1"/>
  <c r="H3" i="3" a="1"/>
  <c r="H4" i="3" a="1"/>
  <c r="H5" i="3" a="1"/>
  <c r="H6" i="3" a="1"/>
  <c r="H2" i="22" s="1"/>
  <c r="H7" i="3" a="1"/>
  <c r="H8" i="3" a="1"/>
  <c r="H9" i="3" a="1"/>
  <c r="H10" i="3" a="1"/>
  <c r="H11" i="3" a="1"/>
  <c r="H12" i="3" a="1"/>
  <c r="H13" i="3" a="1"/>
  <c r="H14" i="3" a="1"/>
  <c r="H15" i="3" a="1"/>
  <c r="H16" i="3" a="1"/>
  <c r="H17" i="3" a="1"/>
  <c r="H18" i="3" a="1"/>
  <c r="H19" i="3" a="1"/>
  <c r="H20" i="3" a="1"/>
  <c r="H21" i="3" a="1"/>
  <c r="H22" i="3" a="1"/>
  <c r="H23" i="3" a="1"/>
  <c r="B7" i="12" s="1"/>
  <c r="H24" i="3" a="1"/>
  <c r="H25" i="3" a="1"/>
  <c r="B2" i="12" s="1"/>
  <c r="H26" i="3" a="1"/>
  <c r="B3" i="12" s="1"/>
  <c r="H27" i="3" a="1"/>
  <c r="B4" i="12" s="1"/>
  <c r="H28" i="3" a="1"/>
  <c r="B5" i="12" s="1"/>
  <c r="H29" i="3" a="1"/>
  <c r="H30" i="3" a="1"/>
  <c r="H31" i="3" a="1"/>
  <c r="H32" i="3" a="1"/>
  <c r="H33" i="3" a="1"/>
  <c r="H34" i="3" a="1"/>
  <c r="H35" i="3" a="1"/>
  <c r="H36" i="3" a="1"/>
  <c r="N3" i="12" s="1"/>
  <c r="H37" i="3" a="1"/>
  <c r="H38" i="3" a="1"/>
  <c r="H39" i="3" a="1"/>
  <c r="H40" i="3" a="1"/>
  <c r="G3" i="3" a="1"/>
  <c r="G4" i="3" a="1"/>
  <c r="G5" i="3" a="1"/>
  <c r="G6" i="3" a="1"/>
  <c r="G2" i="22" s="1"/>
  <c r="G7" i="3" a="1"/>
  <c r="G8" i="3" a="1"/>
  <c r="G9" i="3" a="1"/>
  <c r="G10" i="3" a="1"/>
  <c r="G11" i="3" a="1"/>
  <c r="G12" i="3" a="1"/>
  <c r="G13" i="3" a="1"/>
  <c r="G14" i="3" a="1"/>
  <c r="G15" i="3" a="1"/>
  <c r="G16" i="3" a="1"/>
  <c r="G17" i="3" a="1"/>
  <c r="G18" i="3" a="1"/>
  <c r="G19" i="3" a="1"/>
  <c r="G20" i="3" a="1"/>
  <c r="G21" i="3" a="1"/>
  <c r="G22" i="3" a="1"/>
  <c r="G23" i="3" a="1"/>
  <c r="G24" i="3" a="1"/>
  <c r="G25" i="3" a="1"/>
  <c r="G26" i="3" a="1"/>
  <c r="G27" i="3" a="1"/>
  <c r="G28" i="3" a="1"/>
  <c r="G29" i="3" a="1"/>
  <c r="G30" i="3" a="1"/>
  <c r="G31" i="3" a="1"/>
  <c r="G32" i="3" a="1"/>
  <c r="G33" i="3" a="1"/>
  <c r="G34" i="3" a="1"/>
  <c r="G35" i="3" a="1"/>
  <c r="G36" i="3" a="1"/>
  <c r="M3" i="12" s="1"/>
  <c r="G37" i="3" a="1"/>
  <c r="G38" i="3" a="1"/>
  <c r="G39" i="3" a="1"/>
  <c r="G40" i="3" a="1"/>
  <c r="F3" i="3" a="1"/>
  <c r="F4" i="3" a="1"/>
  <c r="F5" i="3" a="1"/>
  <c r="F6" i="3" a="1"/>
  <c r="F2" i="22" s="1"/>
  <c r="F7" i="3" a="1"/>
  <c r="F8" i="3" a="1"/>
  <c r="F9" i="3" a="1"/>
  <c r="F10" i="3" a="1"/>
  <c r="F11" i="3" a="1"/>
  <c r="F12" i="3" a="1"/>
  <c r="F13" i="3" a="1"/>
  <c r="F14" i="3" a="1"/>
  <c r="F15" i="3" a="1"/>
  <c r="F16" i="3" a="1"/>
  <c r="F17" i="3" a="1"/>
  <c r="F18" i="3" a="1"/>
  <c r="F19" i="3" a="1"/>
  <c r="F20" i="3" a="1"/>
  <c r="F21" i="3" a="1"/>
  <c r="F22" i="3" a="1"/>
  <c r="F23" i="3" a="1"/>
  <c r="F24" i="3" a="1"/>
  <c r="F25" i="3" a="1"/>
  <c r="F26" i="3" a="1"/>
  <c r="F27" i="3" a="1"/>
  <c r="F28" i="3" a="1"/>
  <c r="F29" i="3" a="1"/>
  <c r="F30" i="3" a="1"/>
  <c r="F31" i="3" a="1"/>
  <c r="F32" i="3" a="1"/>
  <c r="F33" i="3" a="1"/>
  <c r="F34" i="3" a="1"/>
  <c r="F35" i="3" a="1"/>
  <c r="F36" i="3" a="1"/>
  <c r="L3" i="12" s="1"/>
  <c r="F37" i="3" a="1"/>
  <c r="F38" i="3" a="1"/>
  <c r="F39" i="3" a="1"/>
  <c r="F40" i="3" a="1"/>
  <c r="E3" i="3" a="1"/>
  <c r="E4" i="3" a="1"/>
  <c r="E5" i="3" a="1"/>
  <c r="E6" i="3" a="1"/>
  <c r="E2" i="22" s="1"/>
  <c r="E7" i="3" a="1"/>
  <c r="E8" i="3" a="1"/>
  <c r="E9" i="3" a="1"/>
  <c r="E10" i="3" a="1"/>
  <c r="E11" i="3" a="1"/>
  <c r="E12" i="3" a="1"/>
  <c r="E13" i="3" a="1"/>
  <c r="E14" i="3" a="1"/>
  <c r="E15" i="3" a="1"/>
  <c r="E16" i="3" a="1"/>
  <c r="E17" i="3" a="1"/>
  <c r="E18" i="3" a="1"/>
  <c r="E19" i="3" a="1"/>
  <c r="E20" i="3" a="1"/>
  <c r="E21" i="3" a="1"/>
  <c r="E22" i="3" a="1"/>
  <c r="E23" i="3" a="1"/>
  <c r="E24" i="3" a="1"/>
  <c r="E25" i="3" a="1"/>
  <c r="E26" i="3" a="1"/>
  <c r="E27" i="3" a="1"/>
  <c r="E28" i="3" a="1"/>
  <c r="E29" i="3" a="1"/>
  <c r="E30" i="3" a="1"/>
  <c r="E31" i="3" a="1"/>
  <c r="E32" i="3" a="1"/>
  <c r="E33" i="3" a="1"/>
  <c r="E34" i="3" a="1"/>
  <c r="E35" i="3" a="1"/>
  <c r="E36" i="3" a="1"/>
  <c r="K3" i="12" s="1"/>
  <c r="E37" i="3" a="1"/>
  <c r="E38" i="3" a="1"/>
  <c r="E39" i="3" a="1"/>
  <c r="E40" i="3" a="1"/>
  <c r="D3" i="3" a="1"/>
  <c r="D4" i="3" a="1"/>
  <c r="D5" i="3" a="1"/>
  <c r="D6" i="3" a="1"/>
  <c r="D2" i="22" s="1"/>
  <c r="D7" i="3" a="1"/>
  <c r="D8" i="3" a="1"/>
  <c r="D9" i="3" a="1"/>
  <c r="D10" i="3" a="1"/>
  <c r="D11" i="3" a="1"/>
  <c r="D12" i="3" a="1"/>
  <c r="D13" i="3" a="1"/>
  <c r="D14" i="3" a="1"/>
  <c r="D15" i="3" a="1"/>
  <c r="D16" i="3" a="1"/>
  <c r="D17" i="3" a="1"/>
  <c r="D18" i="3" a="1"/>
  <c r="D19" i="3" a="1"/>
  <c r="D20" i="3" a="1"/>
  <c r="D21" i="3" a="1"/>
  <c r="D22" i="3" a="1"/>
  <c r="D23" i="3" a="1"/>
  <c r="D24" i="3" a="1"/>
  <c r="D25" i="3" a="1"/>
  <c r="D26" i="3" a="1"/>
  <c r="D27" i="3" a="1"/>
  <c r="D28" i="3" a="1"/>
  <c r="D29" i="3" a="1"/>
  <c r="D30" i="3" a="1"/>
  <c r="D31" i="3" a="1"/>
  <c r="D32" i="3" a="1"/>
  <c r="D33" i="3" a="1"/>
  <c r="D34" i="3" a="1"/>
  <c r="D35" i="3" a="1"/>
  <c r="D36" i="3" a="1"/>
  <c r="J3" i="12" s="1"/>
  <c r="D37" i="3" a="1"/>
  <c r="D38" i="3" a="1"/>
  <c r="D39" i="3" a="1"/>
  <c r="D40" i="3" a="1"/>
  <c r="C3" i="3" a="1"/>
  <c r="C4" i="3" a="1"/>
  <c r="C5" i="3" a="1"/>
  <c r="C6" i="3" a="1"/>
  <c r="C2" i="22" s="1"/>
  <c r="C7" i="3" a="1"/>
  <c r="C8" i="3" a="1"/>
  <c r="C9" i="3" a="1"/>
  <c r="C10" i="3" a="1"/>
  <c r="C11" i="3" a="1"/>
  <c r="C12" i="3" a="1"/>
  <c r="C13" i="3" a="1"/>
  <c r="C14" i="3" a="1"/>
  <c r="C15" i="3" a="1"/>
  <c r="C16" i="3" a="1"/>
  <c r="C17" i="3" a="1"/>
  <c r="C18" i="3" a="1"/>
  <c r="C19" i="3" a="1"/>
  <c r="C20" i="3" a="1"/>
  <c r="C21" i="3" a="1"/>
  <c r="C22" i="3" a="1"/>
  <c r="C23" i="3" a="1"/>
  <c r="C24" i="3" a="1"/>
  <c r="C25" i="3" a="1"/>
  <c r="C26" i="3" a="1"/>
  <c r="C27" i="3" a="1"/>
  <c r="C28" i="3" a="1"/>
  <c r="C29" i="3" a="1"/>
  <c r="C30" i="3" a="1"/>
  <c r="C31" i="3" a="1"/>
  <c r="C32" i="3" a="1"/>
  <c r="C33" i="3" a="1"/>
  <c r="C34" i="3" a="1"/>
  <c r="C35" i="3" a="1"/>
  <c r="C36" i="3" a="1"/>
  <c r="I3" i="12" s="1"/>
  <c r="C37" i="3" a="1"/>
  <c r="C38" i="3" a="1"/>
  <c r="C39" i="3" a="1"/>
  <c r="C40" i="3" a="1"/>
  <c r="B4" i="3" a="1"/>
  <c r="B5" i="3" a="1"/>
  <c r="B6" i="3" a="1"/>
  <c r="B2" i="22" s="1"/>
  <c r="B7" i="3" a="1"/>
  <c r="B8" i="3" a="1"/>
  <c r="B9" i="3" a="1"/>
  <c r="B10" i="3" a="1"/>
  <c r="B11" i="3" a="1"/>
  <c r="B12" i="3" a="1"/>
  <c r="B13" i="3" a="1"/>
  <c r="B14" i="3" a="1"/>
  <c r="B15" i="3" a="1"/>
  <c r="B16" i="3" a="1"/>
  <c r="B17" i="3" a="1"/>
  <c r="B18" i="3" a="1"/>
  <c r="B19" i="3" a="1"/>
  <c r="B20" i="3" a="1"/>
  <c r="B21" i="3" a="1"/>
  <c r="B22" i="3" a="1"/>
  <c r="B23" i="3" a="1"/>
  <c r="B24" i="3" a="1"/>
  <c r="B25" i="3" a="1"/>
  <c r="B26" i="3" a="1"/>
  <c r="B27" i="3" a="1"/>
  <c r="B28" i="3" a="1"/>
  <c r="B29" i="3" a="1"/>
  <c r="B30" i="3" a="1"/>
  <c r="B31" i="3" a="1"/>
  <c r="B32" i="3" a="1"/>
  <c r="B33" i="3" a="1"/>
  <c r="B34" i="3" a="1"/>
  <c r="B35" i="3" a="1"/>
  <c r="B36" i="3" a="1"/>
  <c r="B37" i="3" a="1"/>
  <c r="B38" i="3" a="1"/>
  <c r="B39" i="3" a="1"/>
  <c r="B40" i="3" a="1"/>
  <c r="G4" i="4" l="1"/>
  <c r="H4" i="24"/>
  <c r="D5" i="4"/>
  <c r="H5" i="24"/>
  <c r="H6" i="24"/>
  <c r="H36" i="21"/>
  <c r="H4" i="23" s="1"/>
  <c r="G4" i="6"/>
  <c r="D4" i="6"/>
  <c r="H5" i="4"/>
  <c r="D4" i="4"/>
  <c r="E4" i="6"/>
  <c r="F36" i="21"/>
  <c r="F4" i="23" s="1"/>
  <c r="K2" i="12"/>
  <c r="I4" i="4"/>
  <c r="K11" i="12"/>
  <c r="H4" i="6"/>
  <c r="H4" i="4"/>
  <c r="G5" i="4"/>
  <c r="M2" i="12"/>
  <c r="F4" i="6"/>
  <c r="F4" i="4"/>
  <c r="F5" i="4"/>
  <c r="L2" i="12"/>
  <c r="C4" i="6"/>
  <c r="C4" i="4"/>
  <c r="C5" i="4"/>
  <c r="I2" i="12"/>
  <c r="H2" i="12"/>
  <c r="E5" i="4"/>
  <c r="J2" i="12"/>
  <c r="E4" i="4"/>
  <c r="I3" i="22"/>
  <c r="I3" i="23"/>
  <c r="H3" i="23"/>
  <c r="H3" i="22"/>
  <c r="G3" i="22"/>
  <c r="G3" i="23"/>
  <c r="F3" i="22"/>
  <c r="F3" i="23"/>
  <c r="E3" i="22"/>
  <c r="E3" i="23"/>
  <c r="D3" i="23"/>
  <c r="D3" i="22"/>
  <c r="C3" i="22"/>
  <c r="C3" i="23"/>
  <c r="B3" i="22"/>
  <c r="B3" i="23"/>
  <c r="I4" i="6"/>
  <c r="G10" i="8"/>
  <c r="C6" i="13"/>
  <c r="C5" i="12"/>
  <c r="J7" i="12"/>
  <c r="I5" i="4"/>
  <c r="O2" i="12"/>
  <c r="C6" i="12"/>
  <c r="N2" i="12"/>
  <c r="B6" i="12"/>
  <c r="C3" i="7"/>
  <c r="B3" i="7" s="1"/>
  <c r="E3" i="7"/>
  <c r="D3" i="7" s="1"/>
  <c r="C4" i="7"/>
  <c r="B4" i="7" s="1"/>
  <c r="E4" i="7"/>
  <c r="D4" i="7" s="1"/>
  <c r="H3" i="12"/>
  <c r="I3" i="6"/>
  <c r="I3" i="4"/>
  <c r="H3" i="6"/>
  <c r="H3" i="4"/>
  <c r="G3" i="6"/>
  <c r="G3" i="4"/>
  <c r="F3" i="6"/>
  <c r="F3" i="4"/>
  <c r="E3" i="6"/>
  <c r="E3" i="4"/>
  <c r="D3" i="6"/>
  <c r="D3" i="4"/>
  <c r="C3" i="6"/>
  <c r="C3" i="4"/>
  <c r="B11" i="14"/>
  <c r="C8" i="12"/>
  <c r="G3" i="8"/>
  <c r="I2" i="9"/>
  <c r="L5" i="10"/>
  <c r="D17" i="10"/>
  <c r="L4" i="10"/>
  <c r="I3" i="9"/>
  <c r="I4" i="9"/>
  <c r="I2" i="4"/>
  <c r="D20" i="10"/>
  <c r="L7" i="10"/>
  <c r="D19" i="10"/>
  <c r="L6" i="10"/>
  <c r="D18" i="10"/>
  <c r="Q3" i="5"/>
  <c r="I2" i="6"/>
  <c r="B8" i="12"/>
  <c r="H2" i="4"/>
  <c r="H4" i="9"/>
  <c r="H3" i="9"/>
  <c r="H2" i="9"/>
  <c r="H2" i="6"/>
  <c r="G3" i="9"/>
  <c r="G2" i="9"/>
  <c r="G2" i="4"/>
  <c r="G2" i="6"/>
  <c r="G4" i="9"/>
  <c r="F3" i="9"/>
  <c r="F2" i="9"/>
  <c r="F2" i="6"/>
  <c r="F2" i="4"/>
  <c r="F4" i="9"/>
  <c r="K5" i="10"/>
  <c r="E4" i="9"/>
  <c r="K6" i="10"/>
  <c r="C19" i="10"/>
  <c r="K7" i="10"/>
  <c r="E2" i="6"/>
  <c r="E2" i="9"/>
  <c r="E3" i="9"/>
  <c r="C17" i="10"/>
  <c r="C20" i="10"/>
  <c r="K4" i="10"/>
  <c r="C18" i="10"/>
  <c r="E2" i="4"/>
  <c r="D3" i="9"/>
  <c r="D2" i="6"/>
  <c r="D2" i="9"/>
  <c r="D2" i="4"/>
  <c r="D4" i="9"/>
  <c r="C3" i="9"/>
  <c r="C2" i="9"/>
  <c r="C2" i="6"/>
  <c r="C4" i="9"/>
  <c r="C2" i="4"/>
  <c r="C2" i="7"/>
  <c r="B2" i="7" s="1"/>
  <c r="P3" i="5"/>
  <c r="B4" i="9"/>
  <c r="B3" i="9"/>
  <c r="B2" i="9"/>
  <c r="E2" i="7"/>
  <c r="D2" i="7" s="1"/>
  <c r="D4" i="14"/>
  <c r="D3" i="14"/>
  <c r="B5" i="14"/>
  <c r="D2" i="14"/>
  <c r="M7" i="10" l="1"/>
  <c r="M4" i="10"/>
  <c r="M5" i="10"/>
  <c r="M6" i="10"/>
  <c r="J4" i="5"/>
  <c r="J5" i="5" s="1"/>
  <c r="J6" i="5" s="1"/>
  <c r="F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61C832-A1DE-464C-A662-59F9CDA3F58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<sst xmlns="http://schemas.openxmlformats.org/spreadsheetml/2006/main" count="1099" uniqueCount="374">
  <si>
    <t>Line Item</t>
  </si>
  <si>
    <t>Fiscal Year</t>
  </si>
  <si>
    <t>Value</t>
  </si>
  <si>
    <t>revenue</t>
  </si>
  <si>
    <t>wholesale</t>
  </si>
  <si>
    <t>retail</t>
  </si>
  <si>
    <t>other businesses</t>
  </si>
  <si>
    <t>total net revenue</t>
  </si>
  <si>
    <t>revenue growth y/y</t>
  </si>
  <si>
    <t>cost of goods sold</t>
  </si>
  <si>
    <t>gross profit</t>
  </si>
  <si>
    <t>gross margin %</t>
  </si>
  <si>
    <t>royalty and commission income</t>
  </si>
  <si>
    <t>other operating income</t>
  </si>
  <si>
    <t>other operating expenses</t>
  </si>
  <si>
    <t>marketing and point-of-sale</t>
  </si>
  <si>
    <t>distribution and selling expense</t>
  </si>
  <si>
    <t>general &amp; administration</t>
  </si>
  <si>
    <t>sundry expenses</t>
  </si>
  <si>
    <t>total other operating exp.</t>
  </si>
  <si>
    <t>goodwill / intangible impairment</t>
  </si>
  <si>
    <t>operating profit (ebit)</t>
  </si>
  <si>
    <t>operating margin %</t>
  </si>
  <si>
    <t>financial income</t>
  </si>
  <si>
    <t>financial expenses</t>
  </si>
  <si>
    <t>income before taxes</t>
  </si>
  <si>
    <t>income tax expense</t>
  </si>
  <si>
    <t>effective tax rate %</t>
  </si>
  <si>
    <t>net income from continuing ops.</t>
  </si>
  <si>
    <t>net income from disc. operations</t>
  </si>
  <si>
    <t>net income (total)</t>
  </si>
  <si>
    <t>less: minority interest</t>
  </si>
  <si>
    <t>net income attrib. to shareholders</t>
  </si>
  <si>
    <t>basic eps</t>
  </si>
  <si>
    <t>diluted eps</t>
  </si>
  <si>
    <t>wtd. avg shares - basic (mn)</t>
  </si>
  <si>
    <t>wtd. avg shares - diluted (mn)</t>
  </si>
  <si>
    <t>dividend per share (dps)</t>
  </si>
  <si>
    <t>Statement Group</t>
  </si>
  <si>
    <t>Sign Convention</t>
  </si>
  <si>
    <t>Revenue</t>
  </si>
  <si>
    <t>Positive</t>
  </si>
  <si>
    <t>Negative</t>
  </si>
  <si>
    <t>Other Operating Income</t>
  </si>
  <si>
    <t>Financial</t>
  </si>
  <si>
    <t>Tax</t>
  </si>
  <si>
    <t>FY2016</t>
  </si>
  <si>
    <t>FY2017</t>
  </si>
  <si>
    <t>FY2018</t>
  </si>
  <si>
    <t>FY2019</t>
  </si>
  <si>
    <t>FY2020</t>
  </si>
  <si>
    <t>FY2021</t>
  </si>
  <si>
    <t>FY2022</t>
  </si>
  <si>
    <t>FY2023</t>
  </si>
  <si>
    <t/>
  </si>
  <si>
    <t>N/A</t>
  </si>
  <si>
    <t>Revenue YoY</t>
  </si>
  <si>
    <t>Gross Profit YoY</t>
  </si>
  <si>
    <t>EBIT YoY</t>
  </si>
  <si>
    <t>Net Income YoY</t>
  </si>
  <si>
    <t>(FY2017 Revenue - FY2016 Revenue) / FY2016 Revenue</t>
  </si>
  <si>
    <t>FY2017 Revenue YoY=</t>
  </si>
  <si>
    <t>FY2017 Gross Profit YoY=</t>
  </si>
  <si>
    <t>(FY2017 Gross Profit - FY2016 Gross Profit) / FY2016 Gross Profit</t>
  </si>
  <si>
    <t>FY2017 EBIT YoY=</t>
  </si>
  <si>
    <t>(FY2017 EBIT - FY2016 EBIT) / FY2016 EBIT</t>
  </si>
  <si>
    <t>FY2017 Net Income YoY=</t>
  </si>
  <si>
    <t>(FY2017 Net Income - FY2016 Net Income) / FY2016 Net Income</t>
  </si>
  <si>
    <t>CAGR=((ending value/Beginning value )^1/n  ) -1</t>
  </si>
  <si>
    <t>FY2016 → FY2017 = 1</t>
  </si>
  <si>
    <t>FY2017 → FY2018 = 2</t>
  </si>
  <si>
    <t>FY2018 → FY2019 = 3</t>
  </si>
  <si>
    <t>FY2019 → FY2020 = 4</t>
  </si>
  <si>
    <t>FY2020 → FY2021 = 5</t>
  </si>
  <si>
    <t>FY2021 → FY2022 = 6</t>
  </si>
  <si>
    <t>FY2022 → FY2023 = 7</t>
  </si>
  <si>
    <t>Revenue CAGR</t>
  </si>
  <si>
    <t>(FY2023 Revenue/FY2016 Revenue)^(1/7)-1</t>
  </si>
  <si>
    <t>Net Income CAGR</t>
  </si>
  <si>
    <t>(FY2023 Net Income/FY2016 Net Income)^(1/7)-1</t>
  </si>
  <si>
    <t>Metric</t>
  </si>
  <si>
    <t>CAGR</t>
  </si>
  <si>
    <t>Net Income (Total)</t>
  </si>
  <si>
    <t>N/M</t>
  </si>
  <si>
    <t>Gross Profit</t>
  </si>
  <si>
    <t>Revenue Index</t>
  </si>
  <si>
    <t>Gross Profit Index</t>
  </si>
  <si>
    <t>Operating Expenses Index</t>
  </si>
  <si>
    <t>Formula=Current year's value ÷ FY2016 value × 100</t>
  </si>
  <si>
    <t>The whole purpose of an index is to measure every year against the same base year, FY2016</t>
  </si>
  <si>
    <t xml:space="preserve">  The indexed series shows that revenue increased to 115.93 by FY2023, while gross profit reached 113.30. In contrast, operating expenses rose to 128.94, growing substantially faster than both revenue and gross profit. This divergence indicates increasing operating-cost pressure and suggests weaker operating leverage over the period. The sharp movements around FY2020 and FY2021 also show that the business experienced a significant disruption followed by a recovery.</t>
  </si>
  <si>
    <t>Best Year</t>
  </si>
  <si>
    <t>Best Value</t>
  </si>
  <si>
    <t>Worst Year</t>
  </si>
  <si>
    <t>Worst Value</t>
  </si>
  <si>
    <t>Operating Profit (EBIT)</t>
  </si>
  <si>
    <t>Basic EPS</t>
  </si>
  <si>
    <t>Basic EPS=Net income attributable to ordinary shareholders/Weighted average basic shares</t>
  </si>
  <si>
    <t>Operating expense growth=(OpEx2023/OpEx2016)−1</t>
  </si>
  <si>
    <t>This indicates weakening operating leverage over the period, as the business incurred substantially higher operating costs relative to its revenue growth. In other words, the company did not achieve sufficient revenue growth to absorb the increase in operating expenses, putting pressure on operating profitability.</t>
  </si>
  <si>
    <t>You have FY2016 → FY2023, which is 7 years</t>
  </si>
  <si>
    <r>
      <t>Gross Margin %</t>
    </r>
    <r>
      <rPr>
        <sz val="10"/>
        <color theme="1"/>
        <rFont val="Segoe UI"/>
        <family val="2"/>
      </rPr>
      <t> = Gross Profit ÷ Total Net Revenue</t>
    </r>
  </si>
  <si>
    <r>
      <t>Operating Margin %</t>
    </r>
    <r>
      <rPr>
        <sz val="10"/>
        <color theme="1"/>
        <rFont val="Segoe UI"/>
        <family val="2"/>
      </rPr>
      <t> = EBIT ÷ Total Net Revenue</t>
    </r>
  </si>
  <si>
    <r>
      <t>Net Margin %</t>
    </r>
    <r>
      <rPr>
        <sz val="10"/>
        <color theme="1"/>
        <rFont val="Segoe UI"/>
        <family val="2"/>
      </rPr>
      <t> = Net Income Attrib. to Shareholders ÷ Total Net Revenue</t>
    </r>
  </si>
  <si>
    <t>ratios</t>
  </si>
  <si>
    <t>FY2019 → starting point
FY2023 → ending point</t>
  </si>
  <si>
    <t>1. Gross Margin change</t>
  </si>
  <si>
    <t>2. Each operating expense as % of revenue</t>
  </si>
  <si>
    <t>3. Calculate the change</t>
  </si>
  <si>
    <t>4. Find the biggest damage</t>
  </si>
  <si>
    <t>FY2023 Gross Margin % - FY2019 Gross Margin %</t>
  </si>
  <si>
    <t>Expense / Total Net Revenue * 100</t>
  </si>
  <si>
    <t>Marketing FY2019 / Revenue FY2019 * 100</t>
  </si>
  <si>
    <t>Marketing FY2023 / Revenue FY2023 * 100</t>
  </si>
  <si>
    <t>Line</t>
  </si>
  <si>
    <t>FY2019 calculation</t>
  </si>
  <si>
    <t>FY2023 calculation</t>
  </si>
  <si>
    <t>Marketing &amp; Point-of-Sale</t>
  </si>
  <si>
    <t>Distribution &amp; Selling</t>
  </si>
  <si>
    <t>General &amp; Administration</t>
  </si>
  <si>
    <t>Sundry Expenses</t>
  </si>
  <si>
    <t>Change (pp)</t>
  </si>
  <si>
    <t>FY2016 calculation</t>
  </si>
  <si>
    <t>FY2017 calculation</t>
  </si>
  <si>
    <t>FY2018 calculation</t>
  </si>
  <si>
    <t>FY2020 calculation</t>
  </si>
  <si>
    <t>FY2021 calculation</t>
  </si>
  <si>
    <t>FY2022 calculation</t>
  </si>
  <si>
    <t>1. Financial income</t>
  </si>
  <si>
    <t>2. Financial expenses</t>
  </si>
  <si>
    <t>3. Income before taxes</t>
  </si>
  <si>
    <t>4. Income tax expense</t>
  </si>
  <si>
    <t>5. Net income attributable to shareholders</t>
  </si>
  <si>
    <t>compare FY2022 and FY2023.</t>
  </si>
  <si>
    <t xml:space="preserve"> 6.Operating Margin </t>
  </si>
  <si>
    <t xml:space="preserve"> 7.Net Margin </t>
  </si>
  <si>
    <t>EPS Reconciliation</t>
  </si>
  <si>
    <t>EPS = Net Income Attributable to Shareholders ÷ Weighted Average Shares — Basic</t>
  </si>
  <si>
    <t>Calculate profit change</t>
  </si>
  <si>
    <t>(FY2023 Net Income − FY2019 Net Income) ÷ FY2019 Net Income × 100</t>
  </si>
  <si>
    <t>Calculate share-count change</t>
  </si>
  <si>
    <t>(FY2023 Shares − FY2019 Shares) ÷ FY2019 Shares × 100</t>
  </si>
  <si>
    <t>Interpretation:
Net income fell by 101.39%, which was the main driver of the sharp decline in EPS.
Basic weighted average shares fell by 8.74%, which partially offset the EPS decline because fewer shares were outstanding.
Therefore, the EPS movement was driven overwhelmingly by the deterioration in profit, not by the change in share count.</t>
  </si>
  <si>
    <t>Question: In one year, the effective tax rate exceeds 100%.</t>
  </si>
  <si>
    <t xml:space="preserve">FY2023 Effective Tax Rate </t>
  </si>
  <si>
    <t>Answer:</t>
  </si>
  <si>
    <t>Effective Tax Rate = Income Tax Expense ÷ Income Before Taxes × 100</t>
  </si>
  <si>
    <t>Explanation: the tax expense was larger than the relatively small pre-tax income.</t>
  </si>
  <si>
    <t>Operating margin is the best measure of underlying performance because it shows how profitable the company’s core operations are before the effects of financing and taxes. It is therefore less affected by changes in financial expenses and the unusually high effective tax rate seen in FY2023.</t>
  </si>
  <si>
    <t>Distribution Channel</t>
  </si>
  <si>
    <t>Wholesale</t>
  </si>
  <si>
    <t>Retail</t>
  </si>
  <si>
    <t>Other Businesses</t>
  </si>
  <si>
    <t>Total</t>
  </si>
  <si>
    <r>
      <t>growth over the period</t>
    </r>
    <r>
      <rPr>
        <sz val="10"/>
        <color theme="1"/>
        <rFont val="Segoe UI"/>
        <family val="2"/>
      </rPr>
      <t>.</t>
    </r>
  </si>
  <si>
    <t>Revenue Growth (%)=((FY2023 Revenue−FY2016 Revenue)/FY2016 Revenue)×100</t>
  </si>
  <si>
    <t>Retail Growth %=Retail FY2023−Retail FY2016/Retail FY2016×100</t>
  </si>
  <si>
    <t>Wholesale Growth %=Wholesale FY2023−Wholesale FY2016/Wholesale FY2016×100</t>
  </si>
  <si>
    <t>Measure</t>
  </si>
  <si>
    <t>Growth FY2016–FY2023</t>
  </si>
  <si>
    <t>Total Revenue Growth</t>
  </si>
  <si>
    <t>Wholesale Growth</t>
  </si>
  <si>
    <t>Retail Growth</t>
  </si>
  <si>
    <t>Change</t>
  </si>
  <si>
    <t>Product Category</t>
  </si>
  <si>
    <t>FY2016 Revenue</t>
  </si>
  <si>
    <t>FY2023 Revenue</t>
  </si>
  <si>
    <t>Footwear</t>
  </si>
  <si>
    <t>Apparel</t>
  </si>
  <si>
    <t>Acc. &amp; Gear</t>
  </si>
  <si>
    <t>Total Net Revenue</t>
  </si>
  <si>
    <t>Segment</t>
  </si>
  <si>
    <t>FY16</t>
  </si>
  <si>
    <t>FY17</t>
  </si>
  <si>
    <t>FY18</t>
  </si>
  <si>
    <t>FY19</t>
  </si>
  <si>
    <t>FY20</t>
  </si>
  <si>
    <t>FY21</t>
  </si>
  <si>
    <t>FY22</t>
  </si>
  <si>
    <t>FY23</t>
  </si>
  <si>
    <t>BY PRODUCT CATEGORY</t>
  </si>
  <si>
    <t>10,073.0</t>
  </si>
  <si>
    <t>11,712.0</t>
  </si>
  <si>
    <t>12,272.0</t>
  </si>
  <si>
    <t>13,380.0</t>
  </si>
  <si>
    <t>11,629.0</t>
  </si>
  <si>
    <t>12,252.0</t>
  </si>
  <si>
    <t>12,831.0</t>
  </si>
  <si>
    <t>12,470.0</t>
  </si>
  <si>
    <t xml:space="preserve">Apparel </t>
  </si>
  <si>
    <t>7,264.0</t>
  </si>
  <si>
    <t>8,190.0</t>
  </si>
  <si>
    <t>8,306.0</t>
  </si>
  <si>
    <t>8,865.0</t>
  </si>
  <si>
    <t>7,104.0</t>
  </si>
  <si>
    <t>7,772.0</t>
  </si>
  <si>
    <t>8,397.0</t>
  </si>
  <si>
    <t>7,757.0</t>
  </si>
  <si>
    <t>1,146.0</t>
  </si>
  <si>
    <t>1,316.0</t>
  </si>
  <si>
    <t>1,337.0</t>
  </si>
  <si>
    <t>1,395.0</t>
  </si>
  <si>
    <t>1,111.0</t>
  </si>
  <si>
    <t>1,210.0</t>
  </si>
  <si>
    <t>1,283.0</t>
  </si>
  <si>
    <t>1,200.0</t>
  </si>
  <si>
    <t>18,483.0</t>
  </si>
  <si>
    <t>21,218.0</t>
  </si>
  <si>
    <t>21,915.0</t>
  </si>
  <si>
    <t>23,640.0</t>
  </si>
  <si>
    <t>19,844.0</t>
  </si>
  <si>
    <t>21,234.0</t>
  </si>
  <si>
    <t>22,511.0</t>
  </si>
  <si>
    <t>21,427.0</t>
  </si>
  <si>
    <t>FY2016 Mix</t>
  </si>
  <si>
    <t>FY2023 Mix</t>
  </si>
  <si>
    <t>+3.70 pp</t>
  </si>
  <si>
    <t>-3.10 pp</t>
  </si>
  <si>
    <t>-0.60 pp</t>
  </si>
  <si>
    <t>BY BRAND</t>
  </si>
  <si>
    <t>adidas</t>
  </si>
  <si>
    <t>16,746.0</t>
  </si>
  <si>
    <t>19,457.0</t>
  </si>
  <si>
    <t>20,271.0</t>
  </si>
  <si>
    <t>21,985.0</t>
  </si>
  <si>
    <t>18,614.0</t>
  </si>
  <si>
    <t>20,045.0</t>
  </si>
  <si>
    <t>Reebok</t>
  </si>
  <si>
    <t>(1)</t>
  </si>
  <si>
    <t>1,737.0</t>
  </si>
  <si>
    <t>1,761.0</t>
  </si>
  <si>
    <t>1,644.0</t>
  </si>
  <si>
    <t>1,655.0</t>
  </si>
  <si>
    <t>1,230.0</t>
  </si>
  <si>
    <t>1,189.0</t>
  </si>
  <si>
    <t>—</t>
  </si>
  <si>
    <t>Brand</t>
  </si>
  <si>
    <t>adidas:</t>
  </si>
  <si>
    <t>Reebok:</t>
  </si>
  <si>
    <t>16,746/18,483×100=90.60%</t>
  </si>
  <si>
    <t>1,737/18,483×100=9.40%</t>
  </si>
  <si>
    <t>Therefore, for FY2023:</t>
  </si>
  <si>
    <t>For FY2016:</t>
  </si>
  <si>
    <t>BY DISTRIBUTION CHANNEL</t>
  </si>
  <si>
    <t>11,663.0</t>
  </si>
  <si>
    <t>12,943.0</t>
  </si>
  <si>
    <t>12,733.0</t>
  </si>
  <si>
    <t>13,191.0</t>
  </si>
  <si>
    <t>10,160.0</t>
  </si>
  <si>
    <t>11,148.0</t>
  </si>
  <si>
    <t>12,156.0</t>
  </si>
  <si>
    <t>11,142.0</t>
  </si>
  <si>
    <t>5,841.0</t>
  </si>
  <si>
    <t>7,172.0</t>
  </si>
  <si>
    <t>8,196.0</t>
  </si>
  <si>
    <t>9,480.0</t>
  </si>
  <si>
    <t>8,970.0</t>
  </si>
  <si>
    <t>9,428.0</t>
  </si>
  <si>
    <t>9,725.0</t>
  </si>
  <si>
    <t>9,706.0</t>
  </si>
  <si>
    <t>979.0</t>
  </si>
  <si>
    <t>1,103.0</t>
  </si>
  <si>
    <t>986.0</t>
  </si>
  <si>
    <t>969.0</t>
  </si>
  <si>
    <t>714.0</t>
  </si>
  <si>
    <t>658.0</t>
  </si>
  <si>
    <t>630.0</t>
  </si>
  <si>
    <t>579.0</t>
  </si>
  <si>
    <t>REPORTED SEGMENTATION - FY2016 to FY2019</t>
  </si>
  <si>
    <t>Western Europe</t>
  </si>
  <si>
    <t>North America</t>
  </si>
  <si>
    <t xml:space="preserve">Grtr China </t>
  </si>
  <si>
    <t>Russia / CIS</t>
  </si>
  <si>
    <t>Latin America</t>
  </si>
  <si>
    <t>Other Asian Mkts</t>
  </si>
  <si>
    <t>Emerging Markets</t>
  </si>
  <si>
    <t>REPORTED SEGMENTATION - FY2020 to FY2023</t>
  </si>
  <si>
    <t>EMEA</t>
  </si>
  <si>
    <t>Greater China</t>
  </si>
  <si>
    <t>Asia-Pacific</t>
  </si>
  <si>
    <t>Old FY2019 region</t>
  </si>
  <si>
    <t>New comparable region</t>
  </si>
  <si>
    <t>Russia/CIS</t>
  </si>
  <si>
    <t>Other Asian Markets</t>
  </si>
  <si>
    <t>Apply the mapping</t>
  </si>
  <si>
    <t>Region</t>
  </si>
  <si>
    <t>FY2019 Restated (€mn)</t>
  </si>
  <si>
    <t>FY2023 (€mn)</t>
  </si>
  <si>
    <t>2023</t>
  </si>
  <si>
    <t>2022</t>
  </si>
  <si>
    <t>2021</t>
  </si>
  <si>
    <t>2020</t>
  </si>
  <si>
    <t>2019</t>
  </si>
  <si>
    <t>2018</t>
  </si>
  <si>
    <t>2017</t>
  </si>
  <si>
    <t>2016</t>
  </si>
  <si>
    <t>Contribution to Revenue Change (€mn)</t>
  </si>
  <si>
    <t>Greater China:</t>
  </si>
  <si>
    <t>Latin America:</t>
  </si>
  <si>
    <t>EUR mn</t>
  </si>
  <si>
    <t>Year</t>
  </si>
  <si>
    <t>Total Revenue (€mn)</t>
  </si>
  <si>
    <t>Employees (FTE)</t>
  </si>
  <si>
    <t>Revenue per Employee (€'000)</t>
  </si>
  <si>
    <t>Revenue per Employee (€’000)=(Revenue (€mn)×1,000)/Employees</t>
  </si>
  <si>
    <t>The highest level was FY2019 at €397.1k per employee.
The lowest was FY2016 at €304.9k per employee.
There was a significant decline in FY2020, followed by recovery in FY2021 and FY2022. FY2023 saw a small decline from FY2022.</t>
  </si>
  <si>
    <t>ADS GY Equity — Master P&amp;L</t>
  </si>
  <si>
    <t>FY2016–FY2023 | EUR mn except per-share data</t>
  </si>
  <si>
    <t>REVENUE</t>
  </si>
  <si>
    <t>GROSS PROFIT</t>
  </si>
  <si>
    <t>OPERATING ITEMS</t>
  </si>
  <si>
    <t>BELOW EBIT</t>
  </si>
  <si>
    <t>NET INCOME</t>
  </si>
  <si>
    <t>PER SHARE</t>
  </si>
  <si>
    <t>Revenue Growth Y/Y</t>
  </si>
  <si>
    <t>Net Margin</t>
  </si>
  <si>
    <t>Net Margin %</t>
  </si>
  <si>
    <t>Cost of Goods Sold</t>
  </si>
  <si>
    <t>Gross Margin %</t>
  </si>
  <si>
    <t>Royalty and Commission Income</t>
  </si>
  <si>
    <t>Marketing and Point-of-Sale</t>
  </si>
  <si>
    <t>Distribution and Selling Expense</t>
  </si>
  <si>
    <t>Total Other Operating Exp.</t>
  </si>
  <si>
    <t>Goodwill / Intangible Impairment</t>
  </si>
  <si>
    <t>Operating Margin %</t>
  </si>
  <si>
    <t>Financial Income</t>
  </si>
  <si>
    <t>Financial Expenses</t>
  </si>
  <si>
    <t>Income Before Taxes</t>
  </si>
  <si>
    <t>Income Tax Expense</t>
  </si>
  <si>
    <t>Effective Tax Rate %</t>
  </si>
  <si>
    <t>Net Income from Continuing Ops.</t>
  </si>
  <si>
    <t>Less: Minority Interest</t>
  </si>
  <si>
    <t>Net Income Attrib. to Shareholders</t>
  </si>
  <si>
    <t>Diluted EPS</t>
  </si>
  <si>
    <t>Dividend Per Share (dps)</t>
  </si>
  <si>
    <t>Wtd. Avg Shares - Basic (mn)</t>
  </si>
  <si>
    <t>Wtd. Avg Shares - Diluted (mn)</t>
  </si>
  <si>
    <t>FY</t>
  </si>
  <si>
    <t>Operating Margin</t>
  </si>
  <si>
    <t>Gross Margin</t>
  </si>
  <si>
    <t>Marketing &amp; POS</t>
  </si>
  <si>
    <t>G&amp;A</t>
  </si>
  <si>
    <t>ADS GY EQUITY — P&amp;L SUMMARY</t>
  </si>
  <si>
    <t>FY2016–FY2023</t>
  </si>
  <si>
    <t>FY2023 Operating Margin</t>
  </si>
  <si>
    <t>FY2023 Net Margin</t>
  </si>
  <si>
    <t>Revenue Change</t>
  </si>
  <si>
    <r>
      <rPr>
        <b/>
        <sz val="11"/>
        <color theme="1"/>
        <rFont val="Calibri"/>
        <family val="2"/>
        <scheme val="minor"/>
      </rPr>
      <t>Regions &amp; Staff:</t>
    </r>
    <r>
      <rPr>
        <sz val="11"/>
        <color theme="1"/>
        <rFont val="Calibri"/>
        <family val="2"/>
        <scheme val="minor"/>
      </rPr>
      <t xml:space="preserve">
*Greater China sales dropped by €1.47B from 2019 to 2023.
*Latin America sales grew by €331M over the same period.
*Sales per worker peaked at €397.1k in 2019.
*Worker productivity fell in 2020 and dipped again in 2023.</t>
    </r>
  </si>
  <si>
    <r>
      <rPr>
        <b/>
        <sz val="11"/>
        <color theme="1"/>
        <rFont val="Calibri"/>
        <family val="2"/>
        <scheme val="minor"/>
      </rPr>
      <t>Shrinking Profits:</t>
    </r>
    <r>
      <rPr>
        <sz val="11"/>
        <color theme="1"/>
        <rFont val="Calibri"/>
        <family val="2"/>
        <scheme val="minor"/>
      </rPr>
      <t xml:space="preserve">
*Operating profits fell from 11.1% in 2019 to 1.7% in 2023.
*Higher running costs caused this profit squeeze.
*The company lost €26 million in 2023.
*Earnings per share turned negative in 2023.</t>
    </r>
  </si>
  <si>
    <r>
      <rPr>
        <b/>
        <sz val="11"/>
        <rFont val="Calibri"/>
        <family val="2"/>
        <scheme val="minor"/>
      </rPr>
      <t>Big Picture:</t>
    </r>
    <r>
      <rPr>
        <sz val="11"/>
        <rFont val="Calibri"/>
        <family val="2"/>
        <scheme val="minor"/>
      </rPr>
      <t xml:space="preserve">
*Total sales grew slowly from €18.5B in 2016 to €21.4B in 2023.
*Sales peaked in 2019 and dropped in both 2020 and 2023.
*Store and online sales jumped 66%.
*Wholesale store sales fell 4.5%.</t>
    </r>
  </si>
  <si>
    <t xml:space="preserve">FY2023 Revenue </t>
  </si>
  <si>
    <t>Line Item Description</t>
  </si>
  <si>
    <t>Cost</t>
  </si>
  <si>
    <t>Subtotal</t>
  </si>
  <si>
    <t>Other income</t>
  </si>
  <si>
    <t>Operating expense</t>
  </si>
  <si>
    <t>Net Income from Disc. Operations</t>
  </si>
  <si>
    <t>Per share</t>
  </si>
  <si>
    <t>Dividend Per Share (DPS)</t>
  </si>
  <si>
    <t>EMEA = Western Europe + Russia/CIS + Emerging Markets</t>
  </si>
  <si>
    <t>Asia-Pacific = Other Asian Markets</t>
  </si>
  <si>
    <t>All other regions are carried across directly.</t>
  </si>
  <si>
    <t>Most volatile: Distribution &amp; Selling Expense — ranges from 21.80% to 27.00%, the largest fluctuation.</t>
  </si>
  <si>
    <t>Most fixed-like: Sundry Expenses — stays around 1.00% throughout.</t>
  </si>
  <si>
    <t>Downturn implication: A relatively fixed cost base means expenses do not fall as quickly as revenue, putting pressure on operating margins when sales decline.</t>
  </si>
  <si>
    <t xml:space="preserve"> </t>
  </si>
  <si>
    <t>adidas = 100% of reported brand revenue</t>
  </si>
  <si>
    <t>Reebok = N/A / Not reported</t>
  </si>
  <si>
    <t>So Greater China reduced total revenue by €1,471 million.</t>
  </si>
  <si>
    <t>So Latin America added €331 million.</t>
  </si>
  <si>
    <t>Distribution &amp; Selling Expense had the biggest negative impact, increasing by 3.50 percentage points of revenue from FY2019 to FY2023.</t>
  </si>
  <si>
    <t>Margin</t>
  </si>
  <si>
    <t>% OF NET SALES</t>
  </si>
  <si>
    <t xml:space="preserve">Revenue growth=(Revenue2023/Revenue2016)−1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</si>
</sst>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
    <numFmt numFmtId="167" formatCode="[$€-2]\ #,##0;[Red]\-[$€-2]\ #,##0"/>
  </numFmts>
  <fonts count="37" x14ac:knownFonts="1">
    <font>
      <sz val="11"/>
      <color theme="1"/>
      <name val="Calibri"/>
      <family val="2"/>
      <scheme val="minor"/>
    </font>
    <font>
      <b/>
      <sz val="11"/>
      <name val="Calibri"/>
      <family val="2"/>
    </font>
    <font>
      <b/>
      <sz val="11"/>
      <color theme="1"/>
      <name val="Calibri"/>
      <family val="2"/>
      <scheme val="minor"/>
    </font>
    <font>
      <b/>
      <sz val="11"/>
      <color theme="0"/>
      <name val="Calibri"/>
      <family val="2"/>
      <scheme val="minor"/>
    </font>
    <font>
      <sz val="10"/>
      <color rgb="FF0D0D0D"/>
      <name val="Segoe UI"/>
      <family val="2"/>
    </font>
    <font>
      <sz val="11"/>
      <color rgb="FF006100"/>
      <name val="Calibri"/>
      <family val="2"/>
      <scheme val="minor"/>
    </font>
    <font>
      <sz val="11"/>
      <color rgb="FF9C0006"/>
      <name val="Calibri"/>
      <family val="2"/>
      <scheme val="minor"/>
    </font>
    <font>
      <sz val="11"/>
      <color rgb="FF9C5700"/>
      <name val="Calibri"/>
      <family val="2"/>
      <scheme val="minor"/>
    </font>
    <font>
      <sz val="10"/>
      <color theme="1"/>
      <name val="Segoe UI"/>
      <family val="2"/>
    </font>
    <font>
      <sz val="10"/>
      <color theme="1"/>
      <name val="Segoe UI"/>
      <family val="2"/>
    </font>
    <font>
      <sz val="10"/>
      <color theme="1"/>
      <name val="Calibri"/>
      <family val="2"/>
      <scheme val="minor"/>
    </font>
    <font>
      <sz val="12"/>
      <color theme="1"/>
      <name val="Calibri"/>
      <family val="2"/>
      <scheme val="minor"/>
    </font>
    <font>
      <sz val="11"/>
      <color theme="1"/>
      <name val="Segoe UI"/>
      <family val="2"/>
    </font>
    <font>
      <sz val="18"/>
      <color theme="1"/>
      <name val="Segoe UI"/>
      <family val="2"/>
    </font>
    <font>
      <u val="double"/>
      <sz val="11"/>
      <color theme="1"/>
      <name val="Calibri"/>
      <family val="2"/>
      <scheme val="minor"/>
    </font>
    <font>
      <b/>
      <sz val="11"/>
      <color theme="1"/>
      <name val="Segoe UI"/>
      <family val="2"/>
    </font>
    <font>
      <sz val="8"/>
      <name val="Calibri"/>
      <family val="2"/>
      <scheme val="minor"/>
    </font>
    <font>
      <sz val="13.5"/>
      <color theme="1"/>
      <name val="Segoe UI"/>
      <family val="2"/>
    </font>
    <font>
      <sz val="8"/>
      <color theme="1"/>
      <name val="Segoe UI"/>
      <family val="2"/>
    </font>
    <font>
      <b/>
      <sz val="10"/>
      <color theme="1"/>
      <name val="Segoe UI"/>
      <family val="2"/>
    </font>
    <font>
      <sz val="10"/>
      <color theme="1"/>
      <name val="Segoe UI"/>
      <family val="2"/>
    </font>
    <font>
      <b/>
      <sz val="10"/>
      <name val="Arial"/>
      <family val="2"/>
    </font>
    <font>
      <sz val="10"/>
      <name val="Arial"/>
      <family val="2"/>
    </font>
    <font>
      <sz val="8"/>
      <name val="Arial"/>
      <family val="2"/>
    </font>
    <font>
      <b/>
      <sz val="10"/>
      <color rgb="FFFFFFFF"/>
      <name val="Arial"/>
      <family val="2"/>
    </font>
    <font>
      <b/>
      <u/>
      <sz val="11"/>
      <color theme="1"/>
      <name val="Calibri"/>
      <family val="2"/>
      <scheme val="minor"/>
    </font>
    <font>
      <i/>
      <sz val="10"/>
      <color theme="1"/>
      <name val="Segoe UI"/>
      <family val="2"/>
    </font>
    <font>
      <b/>
      <sz val="16"/>
      <color theme="1"/>
      <name val="Courier New"/>
      <family val="3"/>
    </font>
    <font>
      <b/>
      <sz val="11"/>
      <color theme="1"/>
      <name val="Courier New"/>
      <family val="3"/>
    </font>
    <font>
      <b/>
      <sz val="11"/>
      <name val="Calibri"/>
      <family val="2"/>
      <scheme val="minor"/>
    </font>
    <font>
      <b/>
      <sz val="12"/>
      <color theme="1"/>
      <name val="Calibri"/>
      <family val="2"/>
      <scheme val="minor"/>
    </font>
    <font>
      <sz val="11"/>
      <name val="Calibri"/>
      <family val="2"/>
      <scheme val="minor"/>
    </font>
    <font>
      <b/>
      <sz val="12"/>
      <color theme="3" tint="-0.249977111117893"/>
      <name val="Calibri"/>
      <family val="2"/>
      <scheme val="minor"/>
    </font>
    <font>
      <b/>
      <sz val="11"/>
      <color rgb="FFFA7D00"/>
      <name val="Calibri"/>
      <family val="2"/>
      <scheme val="minor"/>
    </font>
    <font>
      <b/>
      <sz val="14"/>
      <color theme="1"/>
      <name val="Calibri"/>
      <family val="2"/>
      <scheme val="minor"/>
    </font>
    <font>
      <sz val="11"/>
      <color rgb="FF002060"/>
      <name val="Calibri"/>
      <family val="2"/>
      <scheme val="minor"/>
    </font>
    <font>
      <b/>
      <sz val="11"/>
      <color rgb="FF002060"/>
      <name val="Calibri"/>
      <family val="2"/>
      <scheme val="minor"/>
    </font>
  </fonts>
  <fills count="1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C55A11"/>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rgb="FFF2F2F2"/>
      </patternFill>
    </fill>
    <fill>
      <patternFill patternType="solid">
        <fgColor theme="3" tint="0.79998168889431442"/>
        <bgColor indexed="64"/>
      </patternFill>
    </fill>
  </fills>
  <borders count="14">
    <border>
      <left/>
      <right/>
      <top/>
      <bottom/>
      <diagonal/>
    </border>
    <border>
      <left style="thin">
        <color auto="1"/>
      </left>
      <right style="thin">
        <color auto="1"/>
      </right>
      <top/>
      <bottom style="thin">
        <color auto="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diagonal/>
    </border>
    <border>
      <left/>
      <right style="thin">
        <color indexed="64"/>
      </right>
      <top/>
      <bottom/>
      <diagonal/>
    </border>
  </borders>
  <cellStyleXfs count="5">
    <xf numFmtId="0" fontId="0" fillId="0" borderId="0"/>
    <xf numFmtId="0" fontId="5" fillId="5" borderId="0" applyNumberFormat="0" applyBorder="0" applyAlignment="0" applyProtection="0"/>
    <xf numFmtId="0" fontId="6" fillId="6" borderId="0" applyNumberFormat="0" applyBorder="0" applyAlignment="0" applyProtection="0"/>
    <xf numFmtId="0" fontId="7" fillId="7" borderId="0" applyNumberFormat="0" applyBorder="0" applyAlignment="0" applyProtection="0"/>
    <xf numFmtId="0" fontId="33" fillId="12" borderId="11" applyNumberFormat="0" applyAlignment="0" applyProtection="0"/>
  </cellStyleXfs>
  <cellXfs count="111">
    <xf numFmtId="0" fontId="0" fillId="0" borderId="0" xfId="0"/>
    <xf numFmtId="0" fontId="1" fillId="0" borderId="1" xfId="0" applyFont="1" applyBorder="1" applyAlignment="1">
      <alignment horizontal="center" vertical="top"/>
    </xf>
    <xf numFmtId="0" fontId="3" fillId="4" borderId="0" xfId="0" applyFont="1" applyFill="1"/>
    <xf numFmtId="0" fontId="3" fillId="4" borderId="2" xfId="0" applyFont="1" applyFill="1" applyBorder="1"/>
    <xf numFmtId="0" fontId="0" fillId="2" borderId="3" xfId="0" applyFill="1" applyBorder="1"/>
    <xf numFmtId="0" fontId="0" fillId="2" borderId="4" xfId="0" applyFill="1" applyBorder="1"/>
    <xf numFmtId="0" fontId="0" fillId="3" borderId="5" xfId="0" applyFill="1" applyBorder="1"/>
    <xf numFmtId="0" fontId="0" fillId="2" borderId="5" xfId="0" applyFill="1" applyBorder="1"/>
    <xf numFmtId="0" fontId="9" fillId="0" borderId="0" xfId="0" applyFont="1"/>
    <xf numFmtId="0" fontId="2" fillId="0" borderId="0" xfId="0" applyFont="1"/>
    <xf numFmtId="164" fontId="4" fillId="0" borderId="0" xfId="0" applyNumberFormat="1" applyFont="1"/>
    <xf numFmtId="164" fontId="0" fillId="0" borderId="0" xfId="0" applyNumberFormat="1"/>
    <xf numFmtId="0" fontId="8" fillId="0" borderId="0" xfId="0" applyFont="1"/>
    <xf numFmtId="0" fontId="0" fillId="0" borderId="0" xfId="0" applyAlignment="1">
      <alignment vertical="center"/>
    </xf>
    <xf numFmtId="0" fontId="13" fillId="0" borderId="0" xfId="0" applyFont="1" applyAlignment="1">
      <alignment vertical="center"/>
    </xf>
    <xf numFmtId="0" fontId="14" fillId="0" borderId="0" xfId="0" applyFont="1"/>
    <xf numFmtId="3" fontId="0" fillId="0" borderId="0" xfId="0" applyNumberFormat="1"/>
    <xf numFmtId="10" fontId="0" fillId="0" borderId="0" xfId="0" applyNumberFormat="1"/>
    <xf numFmtId="0" fontId="11" fillId="0" borderId="0" xfId="0" applyFont="1"/>
    <xf numFmtId="0" fontId="9" fillId="0" borderId="0" xfId="0" applyFont="1" applyAlignment="1">
      <alignment vertical="center"/>
    </xf>
    <xf numFmtId="0" fontId="8" fillId="0" borderId="0" xfId="0" applyFont="1" applyAlignment="1">
      <alignment vertical="center"/>
    </xf>
    <xf numFmtId="0" fontId="7" fillId="7" borderId="0" xfId="3"/>
    <xf numFmtId="0" fontId="6" fillId="6" borderId="0" xfId="2" applyAlignment="1"/>
    <xf numFmtId="0" fontId="6" fillId="6" borderId="0" xfId="2"/>
    <xf numFmtId="0" fontId="5" fillId="5" borderId="0" xfId="1" applyAlignment="1">
      <alignment horizontal="left"/>
    </xf>
    <xf numFmtId="3" fontId="5" fillId="5" borderId="0" xfId="1" applyNumberFormat="1" applyAlignment="1">
      <alignment horizontal="left"/>
    </xf>
    <xf numFmtId="10" fontId="5" fillId="5" borderId="0" xfId="1" applyNumberFormat="1" applyAlignment="1">
      <alignment horizontal="left"/>
    </xf>
    <xf numFmtId="0" fontId="9" fillId="0" borderId="0" xfId="0" applyFont="1" applyAlignment="1">
      <alignment horizontal="left" vertical="center" wrapText="1" indent="1"/>
    </xf>
    <xf numFmtId="0" fontId="17" fillId="0" borderId="0" xfId="0" applyFont="1" applyAlignment="1">
      <alignment vertical="center"/>
    </xf>
    <xf numFmtId="0" fontId="18" fillId="0" borderId="0" xfId="0" applyFont="1"/>
    <xf numFmtId="0" fontId="19" fillId="0" borderId="0" xfId="0" applyFont="1" applyAlignment="1">
      <alignment vertical="center"/>
    </xf>
    <xf numFmtId="0" fontId="20" fillId="0" borderId="0" xfId="0" applyFont="1"/>
    <xf numFmtId="0" fontId="5" fillId="5" borderId="0" xfId="1"/>
    <xf numFmtId="10" fontId="5" fillId="5" borderId="0" xfId="1" applyNumberFormat="1"/>
    <xf numFmtId="0" fontId="21" fillId="0" borderId="0" xfId="0" applyFont="1" applyAlignment="1">
      <alignment horizontal="left"/>
    </xf>
    <xf numFmtId="0" fontId="22" fillId="0" borderId="0" xfId="0" applyFont="1" applyAlignment="1">
      <alignment horizontal="left"/>
    </xf>
    <xf numFmtId="0" fontId="21" fillId="0" borderId="0" xfId="0" applyFont="1" applyAlignment="1">
      <alignment horizontal="right"/>
    </xf>
    <xf numFmtId="0" fontId="22" fillId="0" borderId="0" xfId="0" applyFont="1" applyAlignment="1">
      <alignment horizontal="right"/>
    </xf>
    <xf numFmtId="0" fontId="24" fillId="8" borderId="0" xfId="0" applyFont="1" applyFill="1"/>
    <xf numFmtId="0" fontId="22" fillId="0" borderId="0" xfId="0" applyFont="1"/>
    <xf numFmtId="0" fontId="10" fillId="0" borderId="0" xfId="0" applyFont="1"/>
    <xf numFmtId="3" fontId="2" fillId="0" borderId="0" xfId="0" applyNumberFormat="1" applyFont="1"/>
    <xf numFmtId="3" fontId="25" fillId="0" borderId="0" xfId="0" applyNumberFormat="1" applyFont="1"/>
    <xf numFmtId="0" fontId="2" fillId="2" borderId="3" xfId="0" applyFont="1" applyFill="1" applyBorder="1"/>
    <xf numFmtId="0" fontId="2" fillId="2" borderId="5" xfId="0" applyFont="1" applyFill="1" applyBorder="1"/>
    <xf numFmtId="0" fontId="2" fillId="3" borderId="5" xfId="0" applyFont="1" applyFill="1" applyBorder="1"/>
    <xf numFmtId="0" fontId="0" fillId="3" borderId="5" xfId="0" applyFill="1" applyBorder="1" applyAlignment="1">
      <alignment horizontal="left" indent="2"/>
    </xf>
    <xf numFmtId="0" fontId="0" fillId="2" borderId="5" xfId="0" applyFill="1" applyBorder="1" applyAlignment="1">
      <alignment horizontal="left" indent="2"/>
    </xf>
    <xf numFmtId="0" fontId="2" fillId="2" borderId="5" xfId="0" applyFont="1" applyFill="1" applyBorder="1" applyAlignment="1">
      <alignment horizontal="left"/>
    </xf>
    <xf numFmtId="0" fontId="3" fillId="4" borderId="0" xfId="0" applyFont="1" applyFill="1" applyAlignment="1">
      <alignment horizontal="center" vertical="center"/>
    </xf>
    <xf numFmtId="0" fontId="3" fillId="4" borderId="2" xfId="0" applyFont="1" applyFill="1" applyBorder="1" applyAlignment="1">
      <alignment horizontal="center" vertical="center"/>
    </xf>
    <xf numFmtId="165" fontId="0" fillId="2" borderId="4" xfId="0" applyNumberFormat="1" applyFill="1" applyBorder="1"/>
    <xf numFmtId="0" fontId="26" fillId="0" borderId="0" xfId="0" applyFont="1"/>
    <xf numFmtId="166" fontId="2" fillId="2" borderId="4" xfId="0" applyNumberFormat="1" applyFont="1" applyFill="1" applyBorder="1" applyAlignment="1">
      <alignment horizontal="right"/>
    </xf>
    <xf numFmtId="10" fontId="2" fillId="0" borderId="0" xfId="0" applyNumberFormat="1" applyFont="1"/>
    <xf numFmtId="0" fontId="32" fillId="0" borderId="0" xfId="0" applyFont="1"/>
    <xf numFmtId="167" fontId="30" fillId="10" borderId="0" xfId="0" applyNumberFormat="1" applyFont="1" applyFill="1"/>
    <xf numFmtId="10" fontId="30" fillId="10" borderId="0" xfId="0" applyNumberFormat="1" applyFont="1" applyFill="1"/>
    <xf numFmtId="0" fontId="0" fillId="11" borderId="7" xfId="0" applyFill="1" applyBorder="1"/>
    <xf numFmtId="0" fontId="0" fillId="9" borderId="8" xfId="0" applyFill="1" applyBorder="1"/>
    <xf numFmtId="0" fontId="3" fillId="4" borderId="9" xfId="0" applyFont="1" applyFill="1" applyBorder="1"/>
    <xf numFmtId="0" fontId="3" fillId="4" borderId="10" xfId="0" applyFont="1" applyFill="1" applyBorder="1"/>
    <xf numFmtId="0" fontId="0" fillId="0" borderId="6" xfId="0" applyBorder="1"/>
    <xf numFmtId="10" fontId="0" fillId="0" borderId="6" xfId="0" applyNumberFormat="1" applyBorder="1"/>
    <xf numFmtId="3" fontId="0" fillId="0" borderId="6" xfId="0" applyNumberFormat="1" applyBorder="1"/>
    <xf numFmtId="0" fontId="21" fillId="0" borderId="6" xfId="0" applyFont="1" applyBorder="1" applyAlignment="1">
      <alignment horizontal="left"/>
    </xf>
    <xf numFmtId="0" fontId="21" fillId="0" borderId="6" xfId="0" applyFont="1" applyBorder="1" applyAlignment="1">
      <alignment horizontal="right"/>
    </xf>
    <xf numFmtId="0" fontId="22" fillId="0" borderId="6" xfId="0" applyFont="1" applyBorder="1" applyAlignment="1">
      <alignment horizontal="left"/>
    </xf>
    <xf numFmtId="0" fontId="22" fillId="0" borderId="6" xfId="0" applyFont="1" applyBorder="1" applyAlignment="1">
      <alignment horizontal="right"/>
    </xf>
    <xf numFmtId="0" fontId="23" fillId="0" borderId="6" xfId="0" applyFont="1" applyBorder="1"/>
    <xf numFmtId="0" fontId="21" fillId="0" borderId="12" xfId="0" applyFont="1" applyBorder="1" applyAlignment="1">
      <alignment horizontal="left"/>
    </xf>
    <xf numFmtId="0" fontId="0" fillId="0" borderId="12" xfId="0" applyBorder="1"/>
    <xf numFmtId="0" fontId="21" fillId="0" borderId="12" xfId="0" applyFont="1" applyBorder="1" applyAlignment="1">
      <alignment horizontal="right"/>
    </xf>
    <xf numFmtId="0" fontId="21" fillId="0" borderId="1" xfId="0" applyFont="1" applyBorder="1" applyAlignment="1">
      <alignment horizontal="left"/>
    </xf>
    <xf numFmtId="0" fontId="0" fillId="0" borderId="1" xfId="0" applyBorder="1"/>
    <xf numFmtId="0" fontId="5" fillId="5" borderId="0" xfId="1" applyAlignment="1">
      <alignment vertical="center"/>
    </xf>
    <xf numFmtId="3" fontId="5" fillId="5" borderId="0" xfId="1" applyNumberFormat="1" applyAlignment="1">
      <alignment vertical="center"/>
    </xf>
    <xf numFmtId="0" fontId="34" fillId="0" borderId="6" xfId="0" applyFont="1" applyBorder="1"/>
    <xf numFmtId="0" fontId="2" fillId="0" borderId="6" xfId="0" applyFont="1" applyBorder="1"/>
    <xf numFmtId="0" fontId="30" fillId="0" borderId="6" xfId="0" applyFont="1" applyBorder="1" applyAlignment="1">
      <alignment horizontal="left" wrapText="1"/>
    </xf>
    <xf numFmtId="0" fontId="8" fillId="0" borderId="6" xfId="0" applyFont="1" applyBorder="1" applyAlignment="1">
      <alignment horizontal="left" wrapText="1"/>
    </xf>
    <xf numFmtId="0" fontId="30" fillId="0" borderId="6" xfId="0" applyFont="1" applyBorder="1"/>
    <xf numFmtId="0" fontId="0" fillId="13" borderId="6" xfId="0" applyFill="1" applyBorder="1"/>
    <xf numFmtId="0" fontId="10" fillId="13" borderId="6" xfId="0" applyFont="1" applyFill="1" applyBorder="1"/>
    <xf numFmtId="0" fontId="33" fillId="12" borderId="11" xfId="4"/>
    <xf numFmtId="165" fontId="35" fillId="2" borderId="4" xfId="0" applyNumberFormat="1" applyFont="1" applyFill="1" applyBorder="1" applyAlignment="1">
      <alignment horizontal="right"/>
    </xf>
    <xf numFmtId="165" fontId="36" fillId="2" borderId="4" xfId="0" applyNumberFormat="1" applyFont="1" applyFill="1" applyBorder="1" applyAlignment="1">
      <alignment horizontal="right"/>
    </xf>
    <xf numFmtId="0" fontId="27" fillId="11" borderId="7" xfId="0" applyFont="1" applyFill="1" applyBorder="1" applyAlignment="1">
      <alignment horizontal="center"/>
    </xf>
    <xf numFmtId="0" fontId="28" fillId="9" borderId="8" xfId="0" applyFont="1" applyFill="1" applyBorder="1" applyAlignment="1">
      <alignment horizontal="center"/>
    </xf>
    <xf numFmtId="0" fontId="31" fillId="9" borderId="6" xfId="0" applyFont="1" applyFill="1" applyBorder="1" applyAlignment="1">
      <alignment horizontal="center" wrapText="1"/>
    </xf>
    <xf numFmtId="0" fontId="0" fillId="9" borderId="6" xfId="0" applyFill="1" applyBorder="1" applyAlignment="1">
      <alignment horizontal="center" wrapText="1"/>
    </xf>
    <xf numFmtId="0" fontId="0" fillId="9" borderId="6" xfId="0" applyFill="1" applyBorder="1" applyAlignment="1">
      <alignment horizontal="center"/>
    </xf>
    <xf numFmtId="0" fontId="6" fillId="6" borderId="0" xfId="2"/>
    <xf numFmtId="0" fontId="12" fillId="0" borderId="0" xfId="0" applyFont="1" applyAlignment="1">
      <alignment horizontal="left" vertical="center"/>
    </xf>
    <xf numFmtId="0" fontId="15" fillId="0" borderId="0" xfId="0" applyFont="1" applyAlignment="1">
      <alignment horizontal="center" vertical="center"/>
    </xf>
    <xf numFmtId="0" fontId="7" fillId="7" borderId="0" xfId="3" applyAlignment="1">
      <alignment horizontal="center" vertical="center" wrapText="1"/>
    </xf>
    <xf numFmtId="0" fontId="5" fillId="5" borderId="0" xfId="1" applyAlignment="1">
      <alignment horizontal="center" wrapText="1"/>
    </xf>
    <xf numFmtId="0" fontId="7" fillId="7" borderId="0" xfId="3" applyAlignment="1">
      <alignment horizontal="center" vertical="center"/>
    </xf>
    <xf numFmtId="0" fontId="6" fillId="6" borderId="0" xfId="2" applyAlignment="1">
      <alignment horizontal="center" vertical="center" wrapText="1"/>
    </xf>
    <xf numFmtId="0" fontId="33" fillId="12" borderId="11" xfId="4" applyAlignment="1">
      <alignment horizontal="center" vertical="center" wrapText="1"/>
    </xf>
    <xf numFmtId="0" fontId="5" fillId="5" borderId="0" xfId="1" applyBorder="1" applyAlignment="1">
      <alignment horizontal="center" vertical="center" wrapText="1"/>
    </xf>
    <xf numFmtId="0" fontId="5" fillId="5" borderId="7" xfId="1" applyBorder="1" applyAlignment="1">
      <alignment horizontal="center" vertical="center" wrapText="1"/>
    </xf>
    <xf numFmtId="0" fontId="0" fillId="0" borderId="0" xfId="0" applyAlignment="1">
      <alignment horizontal="center" wrapText="1"/>
    </xf>
    <xf numFmtId="0" fontId="5" fillId="5" borderId="0" xfId="1" applyAlignment="1">
      <alignment horizontal="center" vertical="center" wrapText="1"/>
    </xf>
    <xf numFmtId="0" fontId="5" fillId="5" borderId="0" xfId="1" applyAlignment="1">
      <alignment horizontal="center" vertical="center"/>
    </xf>
    <xf numFmtId="0" fontId="2" fillId="0" borderId="0" xfId="0" applyFont="1" applyAlignment="1">
      <alignment horizontal="center" vertical="center"/>
    </xf>
    <xf numFmtId="0" fontId="9" fillId="0" borderId="0" xfId="0" applyFont="1" applyAlignment="1">
      <alignment horizontal="center"/>
    </xf>
    <xf numFmtId="0" fontId="26" fillId="0" borderId="0" xfId="0" applyFont="1" applyAlignment="1">
      <alignment horizontal="center"/>
    </xf>
    <xf numFmtId="0" fontId="5" fillId="5" borderId="0" xfId="1" applyBorder="1"/>
    <xf numFmtId="0" fontId="5" fillId="5" borderId="13" xfId="1" applyBorder="1"/>
    <xf numFmtId="0" fontId="5" fillId="5" borderId="0" xfId="1" applyBorder="1" applyAlignment="1">
      <alignment vertical="center"/>
    </xf>
  </cellXfs>
  <cellStyles count="5">
    <cellStyle name="Bad" xfId="2" builtinId="27"/>
    <cellStyle name="Calculation" xfId="4" builtinId="22"/>
    <cellStyle name="Good" xfId="1" builtinId="26"/>
    <cellStyle name="Neutral" xfId="3" builtinId="28"/>
    <cellStyle name="Normal" xfId="0" builtinId="0"/>
  </cellStyles>
  <dxfs count="104">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numFmt numFmtId="3" formatCode="#,##0"/>
    </dxf>
    <dxf>
      <numFmt numFmtId="3" formatCode="#,##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3" formatCode="#,##0"/>
    </dxf>
    <dxf>
      <numFmt numFmtId="3" formatCode="#,##0"/>
    </dxf>
    <dxf>
      <numFmt numFmtId="0" formatCode="General"/>
    </dxf>
    <dxf>
      <numFmt numFmtId="0" formatCode="General"/>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0"/>
        <color theme="1"/>
        <name val="Segoe UI"/>
        <family val="2"/>
        <scheme val="none"/>
      </font>
      <alignment horizontal="left" vertical="center" textRotation="0" wrapText="1" indent="1"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val="0"/>
        <i val="0"/>
        <strike val="0"/>
        <condense val="0"/>
        <extend val="0"/>
        <outline val="0"/>
        <shadow val="0"/>
        <u val="none"/>
        <vertAlign val="baseline"/>
        <sz val="10"/>
        <color rgb="FF0D0D0D"/>
        <name val="Segoe UI"/>
        <family val="2"/>
        <scheme val="none"/>
      </font>
      <numFmt numFmtId="164" formatCode="0.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Indexed Revenue, Gross Profit and Operating Expenses (FY2016 = 100)</a:t>
            </a:r>
            <a:endParaRPr lang="en-IN"/>
          </a:p>
        </c:rich>
      </c:tx>
      <c:layout>
        <c:manualLayout>
          <c:xMode val="edge"/>
          <c:yMode val="edge"/>
          <c:x val="0.20852301249229091"/>
          <c:y val="2.53347810351067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'Index Tables(Stage4-Q3)'!$A$2</c:f>
              <c:strCache>
                <c:ptCount val="1"/>
                <c:pt idx="0">
                  <c:v>Revenue Index</c:v>
                </c:pt>
              </c:strCache>
            </c:strRef>
          </c:tx>
          <c:spPr>
            <a:ln w="28575" cap="rnd">
              <a:solidFill>
                <a:schemeClr val="accent1"/>
              </a:solidFill>
              <a:round/>
            </a:ln>
            <a:effectLst/>
          </c:spPr>
          <c:marker>
            <c:symbol val="none"/>
          </c:marker>
          <c:cat>
            <c:strRef>
              <c:f>'Index Tables(Stage4-Q3)'!$B$1:$I$1</c:f>
              <c:strCache>
                <c:ptCount val="8"/>
                <c:pt idx="0">
                  <c:v>FY2016</c:v>
                </c:pt>
                <c:pt idx="1">
                  <c:v>FY2017</c:v>
                </c:pt>
                <c:pt idx="2">
                  <c:v>FY2018</c:v>
                </c:pt>
                <c:pt idx="3">
                  <c:v>FY2019</c:v>
                </c:pt>
                <c:pt idx="4">
                  <c:v>FY2020</c:v>
                </c:pt>
                <c:pt idx="5">
                  <c:v>FY2021</c:v>
                </c:pt>
                <c:pt idx="6">
                  <c:v>FY2022</c:v>
                </c:pt>
                <c:pt idx="7">
                  <c:v>FY2023</c:v>
                </c:pt>
              </c:strCache>
            </c:strRef>
          </c:cat>
          <c:val>
            <c:numRef>
              <c:f>'Index Tables(Stage4-Q3)'!$B$2:$I$2</c:f>
              <c:numCache>
                <c:formatCode>General</c:formatCode>
                <c:ptCount val="8"/>
                <c:pt idx="0">
                  <c:v>100</c:v>
                </c:pt>
                <c:pt idx="1">
                  <c:v>114.79738137748201</c:v>
                </c:pt>
                <c:pt idx="2">
                  <c:v>118.56841421847102</c:v>
                </c:pt>
                <c:pt idx="3">
                  <c:v>127.90131472163611</c:v>
                </c:pt>
                <c:pt idx="4">
                  <c:v>107.36352323756965</c:v>
                </c:pt>
                <c:pt idx="5">
                  <c:v>114.88394741113454</c:v>
                </c:pt>
                <c:pt idx="6">
                  <c:v>121.79299897202836</c:v>
                </c:pt>
                <c:pt idx="7">
                  <c:v>115.92815019206839</c:v>
                </c:pt>
              </c:numCache>
            </c:numRef>
          </c:val>
          <c:smooth val="0"/>
          <c:extLst>
            <c:ext xmlns:c16="http://schemas.microsoft.com/office/drawing/2014/chart" uri="{C3380CC4-5D6E-409C-BE32-E72D297353CC}">
              <c16:uniqueId val="{00000000-6B42-4FBE-B92D-C2DD6421A4CA}"/>
            </c:ext>
          </c:extLst>
        </c:ser>
        <c:ser>
          <c:idx val="1"/>
          <c:order val="1"/>
          <c:tx>
            <c:strRef>
              <c:f>'Index Tables(Stage4-Q3)'!$A$3</c:f>
              <c:strCache>
                <c:ptCount val="1"/>
                <c:pt idx="0">
                  <c:v>Gross Profit Index</c:v>
                </c:pt>
              </c:strCache>
            </c:strRef>
          </c:tx>
          <c:spPr>
            <a:ln w="28575" cap="rnd">
              <a:solidFill>
                <a:schemeClr val="accent2"/>
              </a:solidFill>
              <a:round/>
            </a:ln>
            <a:effectLst/>
          </c:spPr>
          <c:marker>
            <c:symbol val="none"/>
          </c:marker>
          <c:cat>
            <c:strRef>
              <c:f>'Index Tables(Stage4-Q3)'!$B$1:$I$1</c:f>
              <c:strCache>
                <c:ptCount val="8"/>
                <c:pt idx="0">
                  <c:v>FY2016</c:v>
                </c:pt>
                <c:pt idx="1">
                  <c:v>FY2017</c:v>
                </c:pt>
                <c:pt idx="2">
                  <c:v>FY2018</c:v>
                </c:pt>
                <c:pt idx="3">
                  <c:v>FY2019</c:v>
                </c:pt>
                <c:pt idx="4">
                  <c:v>FY2020</c:v>
                </c:pt>
                <c:pt idx="5">
                  <c:v>FY2021</c:v>
                </c:pt>
                <c:pt idx="6">
                  <c:v>FY2022</c:v>
                </c:pt>
                <c:pt idx="7">
                  <c:v>FY2023</c:v>
                </c:pt>
              </c:strCache>
            </c:strRef>
          </c:cat>
          <c:val>
            <c:numRef>
              <c:f>'Index Tables(Stage4-Q3)'!$B$3:$I$3</c:f>
              <c:numCache>
                <c:formatCode>General</c:formatCode>
                <c:ptCount val="8"/>
                <c:pt idx="0">
                  <c:v>100</c:v>
                </c:pt>
                <c:pt idx="1">
                  <c:v>119.04708894578648</c:v>
                </c:pt>
                <c:pt idx="2">
                  <c:v>125.88222197484136</c:v>
                </c:pt>
                <c:pt idx="3">
                  <c:v>136.84737838138707</c:v>
                </c:pt>
                <c:pt idx="4">
                  <c:v>109.78514972726261</c:v>
                </c:pt>
                <c:pt idx="5">
                  <c:v>119.36992096181676</c:v>
                </c:pt>
                <c:pt idx="6">
                  <c:v>118.53501057553156</c:v>
                </c:pt>
                <c:pt idx="7">
                  <c:v>113.30290548814428</c:v>
                </c:pt>
              </c:numCache>
            </c:numRef>
          </c:val>
          <c:smooth val="0"/>
          <c:extLst>
            <c:ext xmlns:c16="http://schemas.microsoft.com/office/drawing/2014/chart" uri="{C3380CC4-5D6E-409C-BE32-E72D297353CC}">
              <c16:uniqueId val="{00000001-6B42-4FBE-B92D-C2DD6421A4CA}"/>
            </c:ext>
          </c:extLst>
        </c:ser>
        <c:ser>
          <c:idx val="2"/>
          <c:order val="2"/>
          <c:tx>
            <c:strRef>
              <c:f>'Index Tables(Stage4-Q3)'!$A$4</c:f>
              <c:strCache>
                <c:ptCount val="1"/>
                <c:pt idx="0">
                  <c:v>Operating Expenses Index</c:v>
                </c:pt>
              </c:strCache>
            </c:strRef>
          </c:tx>
          <c:spPr>
            <a:ln w="28575" cap="rnd">
              <a:solidFill>
                <a:schemeClr val="accent3"/>
              </a:solidFill>
              <a:round/>
            </a:ln>
            <a:effectLst/>
          </c:spPr>
          <c:marker>
            <c:symbol val="none"/>
          </c:marker>
          <c:cat>
            <c:strRef>
              <c:f>'Index Tables(Stage4-Q3)'!$B$1:$I$1</c:f>
              <c:strCache>
                <c:ptCount val="8"/>
                <c:pt idx="0">
                  <c:v>FY2016</c:v>
                </c:pt>
                <c:pt idx="1">
                  <c:v>FY2017</c:v>
                </c:pt>
                <c:pt idx="2">
                  <c:v>FY2018</c:v>
                </c:pt>
                <c:pt idx="3">
                  <c:v>FY2019</c:v>
                </c:pt>
                <c:pt idx="4">
                  <c:v>FY2020</c:v>
                </c:pt>
                <c:pt idx="5">
                  <c:v>FY2021</c:v>
                </c:pt>
                <c:pt idx="6">
                  <c:v>FY2022</c:v>
                </c:pt>
                <c:pt idx="7">
                  <c:v>FY2023</c:v>
                </c:pt>
              </c:strCache>
            </c:strRef>
          </c:cat>
          <c:val>
            <c:numRef>
              <c:f>'Index Tables(Stage4-Q3)'!$B$4:$I$4</c:f>
              <c:numCache>
                <c:formatCode>General</c:formatCode>
                <c:ptCount val="8"/>
                <c:pt idx="0">
                  <c:v>100</c:v>
                </c:pt>
                <c:pt idx="1">
                  <c:v>114.79855371900827</c:v>
                </c:pt>
                <c:pt idx="2">
                  <c:v>118.01394628099173</c:v>
                </c:pt>
                <c:pt idx="3">
                  <c:v>127.59555785123966</c:v>
                </c:pt>
                <c:pt idx="4">
                  <c:v>118.89204545454545</c:v>
                </c:pt>
                <c:pt idx="5">
                  <c:v>116.80010330578511</c:v>
                </c:pt>
                <c:pt idx="6">
                  <c:v>132.25723140495867</c:v>
                </c:pt>
                <c:pt idx="7">
                  <c:v>128.93853305785123</c:v>
                </c:pt>
              </c:numCache>
            </c:numRef>
          </c:val>
          <c:smooth val="0"/>
          <c:extLst>
            <c:ext xmlns:c16="http://schemas.microsoft.com/office/drawing/2014/chart" uri="{C3380CC4-5D6E-409C-BE32-E72D297353CC}">
              <c16:uniqueId val="{00000002-6B42-4FBE-B92D-C2DD6421A4CA}"/>
            </c:ext>
          </c:extLst>
        </c:ser>
        <c:dLbls>
          <c:showLegendKey val="0"/>
          <c:showVal val="0"/>
          <c:showCatName val="0"/>
          <c:showSerName val="0"/>
          <c:showPercent val="0"/>
          <c:showBubbleSize val="0"/>
        </c:dLbls>
        <c:smooth val="0"/>
        <c:axId val="1924452831"/>
        <c:axId val="1910369679"/>
      </c:lineChart>
      <c:catAx>
        <c:axId val="192445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69679"/>
        <c:crosses val="autoZero"/>
        <c:auto val="1"/>
        <c:lblAlgn val="ctr"/>
        <c:lblOffset val="100"/>
        <c:noMultiLvlLbl val="0"/>
      </c:catAx>
      <c:valAx>
        <c:axId val="191036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45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Profitability Margins (FY2016–FY2023)</a:t>
            </a:r>
            <a:r>
              <a:rPr lang="en-IN" sz="1400" b="0" i="0" u="none" strike="noStrike" baseline="0">
                <a:effectLst/>
              </a:rPr>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'Stage 5 -Q1'!$A$2</c:f>
              <c:strCache>
                <c:ptCount val="1"/>
                <c:pt idx="0">
                  <c:v>Gross Margin % = Gross Profit ÷ Total Net Revenue</c:v>
                </c:pt>
              </c:strCache>
            </c:strRef>
          </c:tx>
          <c:spPr>
            <a:ln w="28575" cap="rnd">
              <a:solidFill>
                <a:schemeClr val="accent1"/>
              </a:solidFill>
              <a:round/>
            </a:ln>
            <a:effectLst/>
          </c:spPr>
          <c:marker>
            <c:symbol val="none"/>
          </c:marker>
          <c:cat>
            <c:strRef>
              <c:f>'Stage 5 -Q1'!$B$1:$I$1</c:f>
              <c:strCache>
                <c:ptCount val="8"/>
                <c:pt idx="0">
                  <c:v>FY2016</c:v>
                </c:pt>
                <c:pt idx="1">
                  <c:v>FY2017</c:v>
                </c:pt>
                <c:pt idx="2">
                  <c:v>FY2018</c:v>
                </c:pt>
                <c:pt idx="3">
                  <c:v>FY2019</c:v>
                </c:pt>
                <c:pt idx="4">
                  <c:v>FY2020</c:v>
                </c:pt>
                <c:pt idx="5">
                  <c:v>FY2021</c:v>
                </c:pt>
                <c:pt idx="6">
                  <c:v>FY2022</c:v>
                </c:pt>
                <c:pt idx="7">
                  <c:v>FY2023</c:v>
                </c:pt>
              </c:strCache>
            </c:strRef>
          </c:cat>
          <c:val>
            <c:numRef>
              <c:f>'Stage 5 -Q1'!$B$2:$I$2</c:f>
              <c:numCache>
                <c:formatCode>General</c:formatCode>
                <c:ptCount val="8"/>
                <c:pt idx="0">
                  <c:v>48.601417518801057</c:v>
                </c:pt>
                <c:pt idx="1">
                  <c:v>50.400603261381846</c:v>
                </c:pt>
                <c:pt idx="2">
                  <c:v>51.59936116814967</c:v>
                </c:pt>
                <c:pt idx="3">
                  <c:v>52.000846023688666</c:v>
                </c:pt>
                <c:pt idx="4">
                  <c:v>49.697641604515219</c:v>
                </c:pt>
                <c:pt idx="5">
                  <c:v>50.499199397193181</c:v>
                </c:pt>
                <c:pt idx="6">
                  <c:v>47.301319354982006</c:v>
                </c:pt>
                <c:pt idx="7">
                  <c:v>47.500816726559947</c:v>
                </c:pt>
              </c:numCache>
            </c:numRef>
          </c:val>
          <c:smooth val="0"/>
          <c:extLst>
            <c:ext xmlns:c16="http://schemas.microsoft.com/office/drawing/2014/chart" uri="{C3380CC4-5D6E-409C-BE32-E72D297353CC}">
              <c16:uniqueId val="{00000000-A823-4CCE-8C6F-DDB34E27DA9F}"/>
            </c:ext>
          </c:extLst>
        </c:ser>
        <c:ser>
          <c:idx val="1"/>
          <c:order val="1"/>
          <c:tx>
            <c:strRef>
              <c:f>'Stage 5 -Q1'!$A$3</c:f>
              <c:strCache>
                <c:ptCount val="1"/>
                <c:pt idx="0">
                  <c:v>Operating Margin % = EBIT ÷ Total Net Revenue</c:v>
                </c:pt>
              </c:strCache>
            </c:strRef>
          </c:tx>
          <c:spPr>
            <a:ln w="28575" cap="rnd">
              <a:solidFill>
                <a:schemeClr val="accent2"/>
              </a:solidFill>
              <a:round/>
            </a:ln>
            <a:effectLst/>
          </c:spPr>
          <c:marker>
            <c:symbol val="none"/>
          </c:marker>
          <c:cat>
            <c:strRef>
              <c:f>'Stage 5 -Q1'!$B$1:$I$1</c:f>
              <c:strCache>
                <c:ptCount val="8"/>
                <c:pt idx="0">
                  <c:v>FY2016</c:v>
                </c:pt>
                <c:pt idx="1">
                  <c:v>FY2017</c:v>
                </c:pt>
                <c:pt idx="2">
                  <c:v>FY2018</c:v>
                </c:pt>
                <c:pt idx="3">
                  <c:v>FY2019</c:v>
                </c:pt>
                <c:pt idx="4">
                  <c:v>FY2020</c:v>
                </c:pt>
                <c:pt idx="5">
                  <c:v>FY2021</c:v>
                </c:pt>
                <c:pt idx="6">
                  <c:v>FY2022</c:v>
                </c:pt>
                <c:pt idx="7">
                  <c:v>FY2023</c:v>
                </c:pt>
              </c:strCache>
            </c:strRef>
          </c:cat>
          <c:val>
            <c:numRef>
              <c:f>'Stage 5 -Q1'!$B$3:$I$3</c:f>
              <c:numCache>
                <c:formatCode>General</c:formatCode>
                <c:ptCount val="8"/>
                <c:pt idx="0">
                  <c:v>7.6124005843207279</c:v>
                </c:pt>
                <c:pt idx="1">
                  <c:v>9.3552643981525119</c:v>
                </c:pt>
                <c:pt idx="2">
                  <c:v>10.773442847364818</c:v>
                </c:pt>
                <c:pt idx="3">
                  <c:v>11.082910321489003</c:v>
                </c:pt>
                <c:pt idx="4">
                  <c:v>4.0465631929046566</c:v>
                </c:pt>
                <c:pt idx="5">
                  <c:v>8.6653480267495535</c:v>
                </c:pt>
                <c:pt idx="6">
                  <c:v>1.719159522011461</c:v>
                </c:pt>
                <c:pt idx="7">
                  <c:v>1.6567881644653941</c:v>
                </c:pt>
              </c:numCache>
            </c:numRef>
          </c:val>
          <c:smooth val="0"/>
          <c:extLst>
            <c:ext xmlns:c16="http://schemas.microsoft.com/office/drawing/2014/chart" uri="{C3380CC4-5D6E-409C-BE32-E72D297353CC}">
              <c16:uniqueId val="{00000001-A823-4CCE-8C6F-DDB34E27DA9F}"/>
            </c:ext>
          </c:extLst>
        </c:ser>
        <c:ser>
          <c:idx val="2"/>
          <c:order val="2"/>
          <c:tx>
            <c:strRef>
              <c:f>'Stage 5 -Q1'!$A$4</c:f>
              <c:strCache>
                <c:ptCount val="1"/>
                <c:pt idx="0">
                  <c:v>Net Margin % = Net Income Attrib. to Shareholders ÷ Total Net Revenue</c:v>
                </c:pt>
              </c:strCache>
            </c:strRef>
          </c:tx>
          <c:spPr>
            <a:ln w="28575" cap="rnd">
              <a:solidFill>
                <a:schemeClr val="accent3"/>
              </a:solidFill>
              <a:round/>
            </a:ln>
            <a:effectLst/>
          </c:spPr>
          <c:marker>
            <c:symbol val="none"/>
          </c:marker>
          <c:cat>
            <c:strRef>
              <c:f>'Stage 5 -Q1'!$B$1:$I$1</c:f>
              <c:strCache>
                <c:ptCount val="8"/>
                <c:pt idx="0">
                  <c:v>FY2016</c:v>
                </c:pt>
                <c:pt idx="1">
                  <c:v>FY2017</c:v>
                </c:pt>
                <c:pt idx="2">
                  <c:v>FY2018</c:v>
                </c:pt>
                <c:pt idx="3">
                  <c:v>FY2019</c:v>
                </c:pt>
                <c:pt idx="4">
                  <c:v>FY2020</c:v>
                </c:pt>
                <c:pt idx="5">
                  <c:v>FY2021</c:v>
                </c:pt>
                <c:pt idx="6">
                  <c:v>FY2022</c:v>
                </c:pt>
                <c:pt idx="7">
                  <c:v>FY2023</c:v>
                </c:pt>
              </c:strCache>
            </c:strRef>
          </c:cat>
          <c:val>
            <c:numRef>
              <c:f>'Stage 5 -Q1'!$B$4:$I$4</c:f>
              <c:numCache>
                <c:formatCode>General</c:formatCode>
                <c:ptCount val="8"/>
                <c:pt idx="0">
                  <c:v>5.1344478710166097</c:v>
                </c:pt>
                <c:pt idx="1">
                  <c:v>6.470920916203224</c:v>
                </c:pt>
                <c:pt idx="2">
                  <c:v>7.711613050422085</c:v>
                </c:pt>
                <c:pt idx="3">
                  <c:v>7.8468697123519462</c:v>
                </c:pt>
                <c:pt idx="4">
                  <c:v>1.7486393872203183</c:v>
                </c:pt>
                <c:pt idx="5">
                  <c:v>6.8145427145144586</c:v>
                </c:pt>
                <c:pt idx="6">
                  <c:v>0.2221136333348141</c:v>
                </c:pt>
                <c:pt idx="7">
                  <c:v>-0.15401129416157186</c:v>
                </c:pt>
              </c:numCache>
            </c:numRef>
          </c:val>
          <c:smooth val="0"/>
          <c:extLst>
            <c:ext xmlns:c16="http://schemas.microsoft.com/office/drawing/2014/chart" uri="{C3380CC4-5D6E-409C-BE32-E72D297353CC}">
              <c16:uniqueId val="{00000002-A823-4CCE-8C6F-DDB34E27DA9F}"/>
            </c:ext>
          </c:extLst>
        </c:ser>
        <c:dLbls>
          <c:showLegendKey val="0"/>
          <c:showVal val="0"/>
          <c:showCatName val="0"/>
          <c:showSerName val="0"/>
          <c:showPercent val="0"/>
          <c:showBubbleSize val="0"/>
        </c:dLbls>
        <c:smooth val="0"/>
        <c:axId val="235990191"/>
        <c:axId val="1910455599"/>
      </c:lineChart>
      <c:catAx>
        <c:axId val="23599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55599"/>
        <c:crosses val="autoZero"/>
        <c:auto val="1"/>
        <c:lblAlgn val="ctr"/>
        <c:lblOffset val="100"/>
        <c:noMultiLvlLbl val="0"/>
      </c:catAx>
      <c:valAx>
        <c:axId val="1910455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Margins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90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Revenue and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'Stage7-chart1'!$A$2</c:f>
              <c:strCache>
                <c:ptCount val="1"/>
                <c:pt idx="0">
                  <c:v>Revenue</c:v>
                </c:pt>
              </c:strCache>
            </c:strRef>
          </c:tx>
          <c:spPr>
            <a:solidFill>
              <a:schemeClr val="tx2"/>
            </a:solidFill>
            <a:ln>
              <a:noFill/>
            </a:ln>
            <a:effectLst/>
          </c:spPr>
          <c:invertIfNegative val="0"/>
          <c:cat>
            <c:strRef>
              <c:f>'Stage7-chart1'!$B$1:$I$1</c:f>
              <c:strCache>
                <c:ptCount val="8"/>
                <c:pt idx="0">
                  <c:v>FY2016</c:v>
                </c:pt>
                <c:pt idx="1">
                  <c:v>FY2017</c:v>
                </c:pt>
                <c:pt idx="2">
                  <c:v>FY2018</c:v>
                </c:pt>
                <c:pt idx="3">
                  <c:v>FY2019</c:v>
                </c:pt>
                <c:pt idx="4">
                  <c:v>FY2020</c:v>
                </c:pt>
                <c:pt idx="5">
                  <c:v>FY2021</c:v>
                </c:pt>
                <c:pt idx="6">
                  <c:v>FY2022</c:v>
                </c:pt>
                <c:pt idx="7">
                  <c:v>FY2023</c:v>
                </c:pt>
              </c:strCache>
            </c:strRef>
          </c:cat>
          <c:val>
            <c:numRef>
              <c:f>'Stage7-chart1'!$B$2:$I$2</c:f>
              <c:numCache>
                <c:formatCode>General</c:formatCode>
                <c:ptCount val="8"/>
                <c:pt idx="0">
                  <c:v>18483</c:v>
                </c:pt>
                <c:pt idx="1">
                  <c:v>21218</c:v>
                </c:pt>
                <c:pt idx="2">
                  <c:v>21915</c:v>
                </c:pt>
                <c:pt idx="3">
                  <c:v>23640</c:v>
                </c:pt>
                <c:pt idx="4">
                  <c:v>19844</c:v>
                </c:pt>
                <c:pt idx="5">
                  <c:v>21234</c:v>
                </c:pt>
                <c:pt idx="6">
                  <c:v>22511</c:v>
                </c:pt>
                <c:pt idx="7">
                  <c:v>21427</c:v>
                </c:pt>
              </c:numCache>
            </c:numRef>
          </c:val>
          <c:extLst>
            <c:ext xmlns:c16="http://schemas.microsoft.com/office/drawing/2014/chart" uri="{C3380CC4-5D6E-409C-BE32-E72D297353CC}">
              <c16:uniqueId val="{00000000-3B1F-4190-8308-7523A08198BA}"/>
            </c:ext>
          </c:extLst>
        </c:ser>
        <c:dLbls>
          <c:showLegendKey val="0"/>
          <c:showVal val="0"/>
          <c:showCatName val="0"/>
          <c:showSerName val="0"/>
          <c:showPercent val="0"/>
          <c:showBubbleSize val="0"/>
        </c:dLbls>
        <c:gapWidth val="219"/>
        <c:overlap val="-27"/>
        <c:axId val="1961787695"/>
        <c:axId val="1907894191"/>
      </c:barChart>
      <c:lineChart>
        <c:grouping val="standard"/>
        <c:varyColors val="0"/>
        <c:ser>
          <c:idx val="1"/>
          <c:order val="1"/>
          <c:tx>
            <c:strRef>
              <c:f>'Stage7-chart1'!$A$3</c:f>
              <c:strCache>
                <c:ptCount val="1"/>
                <c:pt idx="0">
                  <c:v>Operating Margin</c:v>
                </c:pt>
              </c:strCache>
            </c:strRef>
          </c:tx>
          <c:spPr>
            <a:ln w="28575" cap="rnd">
              <a:solidFill>
                <a:schemeClr val="accent6">
                  <a:lumMod val="75000"/>
                </a:schemeClr>
              </a:solidFill>
              <a:round/>
            </a:ln>
            <a:effectLst/>
          </c:spPr>
          <c:marker>
            <c:symbol val="none"/>
          </c:marker>
          <c:cat>
            <c:strRef>
              <c:f>'Stage7-chart1'!$B$1:$I$1</c:f>
              <c:strCache>
                <c:ptCount val="8"/>
                <c:pt idx="0">
                  <c:v>FY2016</c:v>
                </c:pt>
                <c:pt idx="1">
                  <c:v>FY2017</c:v>
                </c:pt>
                <c:pt idx="2">
                  <c:v>FY2018</c:v>
                </c:pt>
                <c:pt idx="3">
                  <c:v>FY2019</c:v>
                </c:pt>
                <c:pt idx="4">
                  <c:v>FY2020</c:v>
                </c:pt>
                <c:pt idx="5">
                  <c:v>FY2021</c:v>
                </c:pt>
                <c:pt idx="6">
                  <c:v>FY2022</c:v>
                </c:pt>
                <c:pt idx="7">
                  <c:v>FY2023</c:v>
                </c:pt>
              </c:strCache>
            </c:strRef>
          </c:cat>
          <c:val>
            <c:numRef>
              <c:f>'Stage7-chart1'!$B$3:$I$3</c:f>
              <c:numCache>
                <c:formatCode>General</c:formatCode>
                <c:ptCount val="8"/>
                <c:pt idx="0">
                  <c:v>7.6124005843207276E-2</c:v>
                </c:pt>
                <c:pt idx="1">
                  <c:v>9.3552643981525116E-2</c:v>
                </c:pt>
                <c:pt idx="2">
                  <c:v>0.10773442847364818</c:v>
                </c:pt>
                <c:pt idx="3">
                  <c:v>0.11082910321489002</c:v>
                </c:pt>
                <c:pt idx="4">
                  <c:v>4.0465631929046564E-2</c:v>
                </c:pt>
                <c:pt idx="5">
                  <c:v>8.6653480267495531E-2</c:v>
                </c:pt>
                <c:pt idx="6">
                  <c:v>1.7191595220114611E-2</c:v>
                </c:pt>
                <c:pt idx="7">
                  <c:v>1.6567881644653941E-2</c:v>
                </c:pt>
              </c:numCache>
            </c:numRef>
          </c:val>
          <c:smooth val="0"/>
          <c:extLst>
            <c:ext xmlns:c16="http://schemas.microsoft.com/office/drawing/2014/chart" uri="{C3380CC4-5D6E-409C-BE32-E72D297353CC}">
              <c16:uniqueId val="{00000001-3B1F-4190-8308-7523A08198BA}"/>
            </c:ext>
          </c:extLst>
        </c:ser>
        <c:dLbls>
          <c:showLegendKey val="0"/>
          <c:showVal val="0"/>
          <c:showCatName val="0"/>
          <c:showSerName val="0"/>
          <c:showPercent val="0"/>
          <c:showBubbleSize val="0"/>
        </c:dLbls>
        <c:marker val="1"/>
        <c:smooth val="0"/>
        <c:axId val="236026847"/>
        <c:axId val="1907909551"/>
      </c:lineChart>
      <c:catAx>
        <c:axId val="196178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Fiscal Year</a:t>
                </a:r>
              </a:p>
            </c:rich>
          </c:tx>
          <c:layout>
            <c:manualLayout>
              <c:xMode val="edge"/>
              <c:yMode val="edge"/>
              <c:x val="0.46814814814814826"/>
              <c:y val="0.82184220035462474"/>
            </c:manualLayout>
          </c:layout>
          <c:overlay val="0"/>
          <c:spPr>
            <a:solidFill>
              <a:schemeClr val="bg1"/>
            </a:solidFill>
            <a:ln>
              <a:solidFill>
                <a:schemeClr val="tx1"/>
              </a:solid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7894191"/>
        <c:crosses val="autoZero"/>
        <c:auto val="1"/>
        <c:lblAlgn val="ctr"/>
        <c:lblOffset val="100"/>
        <c:noMultiLvlLbl val="0"/>
      </c:catAx>
      <c:valAx>
        <c:axId val="190789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Revenue (€ 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1787695"/>
        <c:crosses val="autoZero"/>
        <c:crossBetween val="between"/>
      </c:valAx>
      <c:valAx>
        <c:axId val="19079095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Operating Margin (%)</a:t>
                </a:r>
              </a:p>
            </c:rich>
          </c:tx>
          <c:layout>
            <c:manualLayout>
              <c:xMode val="edge"/>
              <c:yMode val="edge"/>
              <c:x val="0.96002413398015651"/>
              <c:y val="0.273882973806502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6026847"/>
        <c:crosses val="max"/>
        <c:crossBetween val="between"/>
      </c:valAx>
      <c:catAx>
        <c:axId val="236026847"/>
        <c:scaling>
          <c:orientation val="minMax"/>
        </c:scaling>
        <c:delete val="1"/>
        <c:axPos val="b"/>
        <c:numFmt formatCode="General" sourceLinked="1"/>
        <c:majorTickMark val="out"/>
        <c:minorTickMark val="none"/>
        <c:tickLblPos val="nextTo"/>
        <c:crossAx val="1907909551"/>
        <c:crosses val="autoZero"/>
        <c:auto val="1"/>
        <c:lblAlgn val="ctr"/>
        <c:lblOffset val="100"/>
        <c:noMultiLvlLbl val="0"/>
      </c:catAx>
      <c:spPr>
        <a:noFill/>
        <a:ln>
          <a:noFill/>
        </a:ln>
        <a:effectLst/>
      </c:spPr>
    </c:plotArea>
    <c:legend>
      <c:legendPos val="b"/>
      <c:layout>
        <c:manualLayout>
          <c:xMode val="edge"/>
          <c:yMode val="edge"/>
          <c:x val="0.32473880869058036"/>
          <c:y val="0.8894690991801053"/>
          <c:w val="0.29871068747985446"/>
          <c:h val="6.0032437247371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Profitability Margins, FY2016–FY2023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'Stage7-chart2'!$A$2</c:f>
              <c:strCache>
                <c:ptCount val="1"/>
                <c:pt idx="0">
                  <c:v>Gross Margin</c:v>
                </c:pt>
              </c:strCache>
            </c:strRef>
          </c:tx>
          <c:spPr>
            <a:ln w="28575" cap="rnd">
              <a:solidFill>
                <a:schemeClr val="accent1"/>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'Stage7-chart2'!$B$2:$I$2</c:f>
              <c:numCache>
                <c:formatCode>0.00%</c:formatCode>
                <c:ptCount val="8"/>
                <c:pt idx="0">
                  <c:v>0.4860141751880106</c:v>
                </c:pt>
                <c:pt idx="1">
                  <c:v>0.50400603261381849</c:v>
                </c:pt>
                <c:pt idx="2">
                  <c:v>0.51599361168149671</c:v>
                </c:pt>
                <c:pt idx="3">
                  <c:v>0.52000846023688663</c:v>
                </c:pt>
                <c:pt idx="4">
                  <c:v>0.49697641604515219</c:v>
                </c:pt>
                <c:pt idx="5">
                  <c:v>0.50499199397193184</c:v>
                </c:pt>
                <c:pt idx="6">
                  <c:v>0.47301319354982008</c:v>
                </c:pt>
                <c:pt idx="7">
                  <c:v>0.47500816726559947</c:v>
                </c:pt>
              </c:numCache>
            </c:numRef>
          </c:val>
          <c:smooth val="0"/>
          <c:extLst>
            <c:ext xmlns:c16="http://schemas.microsoft.com/office/drawing/2014/chart" uri="{C3380CC4-5D6E-409C-BE32-E72D297353CC}">
              <c16:uniqueId val="{00000000-93BA-4364-9B3F-A31D8B0FCE8A}"/>
            </c:ext>
          </c:extLst>
        </c:ser>
        <c:ser>
          <c:idx val="1"/>
          <c:order val="1"/>
          <c:tx>
            <c:strRef>
              <c:f>'Stage7-chart2'!$A$3</c:f>
              <c:strCache>
                <c:ptCount val="1"/>
                <c:pt idx="0">
                  <c:v>Operating Margin</c:v>
                </c:pt>
              </c:strCache>
            </c:strRef>
          </c:tx>
          <c:spPr>
            <a:ln w="28575" cap="rnd">
              <a:solidFill>
                <a:schemeClr val="accent6">
                  <a:lumMod val="75000"/>
                </a:schemeClr>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'Stage7-chart2'!$B$3:$I$3</c:f>
              <c:numCache>
                <c:formatCode>0.00%</c:formatCode>
                <c:ptCount val="8"/>
                <c:pt idx="0">
                  <c:v>7.6124005843207276E-2</c:v>
                </c:pt>
                <c:pt idx="1">
                  <c:v>9.3552643981525116E-2</c:v>
                </c:pt>
                <c:pt idx="2">
                  <c:v>0.10773442847364818</c:v>
                </c:pt>
                <c:pt idx="3">
                  <c:v>0.11082910321489002</c:v>
                </c:pt>
                <c:pt idx="4">
                  <c:v>4.0465631929046564E-2</c:v>
                </c:pt>
                <c:pt idx="5">
                  <c:v>8.6653480267495531E-2</c:v>
                </c:pt>
                <c:pt idx="6">
                  <c:v>1.7191595220114611E-2</c:v>
                </c:pt>
                <c:pt idx="7">
                  <c:v>1.6567881644653941E-2</c:v>
                </c:pt>
              </c:numCache>
            </c:numRef>
          </c:val>
          <c:smooth val="0"/>
          <c:extLst>
            <c:ext xmlns:c16="http://schemas.microsoft.com/office/drawing/2014/chart" uri="{C3380CC4-5D6E-409C-BE32-E72D297353CC}">
              <c16:uniqueId val="{00000001-93BA-4364-9B3F-A31D8B0FCE8A}"/>
            </c:ext>
          </c:extLst>
        </c:ser>
        <c:ser>
          <c:idx val="2"/>
          <c:order val="2"/>
          <c:tx>
            <c:strRef>
              <c:f>'Stage7-chart2'!$A$4</c:f>
              <c:strCache>
                <c:ptCount val="1"/>
                <c:pt idx="0">
                  <c:v>Net Margin</c:v>
                </c:pt>
              </c:strCache>
            </c:strRef>
          </c:tx>
          <c:spPr>
            <a:ln w="28575" cap="rnd">
              <a:solidFill>
                <a:srgbClr val="00B050"/>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'Stage7-chart2'!$B$4:$I$4</c:f>
              <c:numCache>
                <c:formatCode>0.00%</c:formatCode>
                <c:ptCount val="8"/>
                <c:pt idx="0">
                  <c:v>5.1344478710166098E-2</c:v>
                </c:pt>
                <c:pt idx="1">
                  <c:v>6.4709209162032238E-2</c:v>
                </c:pt>
                <c:pt idx="2">
                  <c:v>7.7116130504220851E-2</c:v>
                </c:pt>
                <c:pt idx="3">
                  <c:v>7.8468697123519462E-2</c:v>
                </c:pt>
                <c:pt idx="4">
                  <c:v>1.7486393872203184E-2</c:v>
                </c:pt>
                <c:pt idx="5">
                  <c:v>6.8145427145144585E-2</c:v>
                </c:pt>
                <c:pt idx="6">
                  <c:v>2.221136333348141E-3</c:v>
                </c:pt>
                <c:pt idx="7">
                  <c:v>-1.5401129416157185E-3</c:v>
                </c:pt>
              </c:numCache>
            </c:numRef>
          </c:val>
          <c:smooth val="0"/>
          <c:extLst>
            <c:ext xmlns:c16="http://schemas.microsoft.com/office/drawing/2014/chart" uri="{C3380CC4-5D6E-409C-BE32-E72D297353CC}">
              <c16:uniqueId val="{00000002-93BA-4364-9B3F-A31D8B0FCE8A}"/>
            </c:ext>
          </c:extLst>
        </c:ser>
        <c:dLbls>
          <c:showLegendKey val="0"/>
          <c:showVal val="0"/>
          <c:showCatName val="0"/>
          <c:showSerName val="0"/>
          <c:showPercent val="0"/>
          <c:showBubbleSize val="0"/>
        </c:dLbls>
        <c:smooth val="0"/>
        <c:axId val="421314863"/>
        <c:axId val="1907923951"/>
      </c:lineChart>
      <c:catAx>
        <c:axId val="42131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Fiscal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7923951"/>
        <c:crosses val="autoZero"/>
        <c:auto val="1"/>
        <c:lblAlgn val="ctr"/>
        <c:lblOffset val="100"/>
        <c:noMultiLvlLbl val="0"/>
      </c:catAx>
      <c:valAx>
        <c:axId val="190792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1314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effectLst/>
              </a:rPr>
              <a:t>Operating Expenses as % of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'Stage7-chart3'!$A$2</c:f>
              <c:strCache>
                <c:ptCount val="1"/>
                <c:pt idx="0">
                  <c:v>Marketing &amp; POS</c:v>
                </c:pt>
              </c:strCache>
            </c:strRef>
          </c:tx>
          <c:spPr>
            <a:solidFill>
              <a:schemeClr val="tx2">
                <a:lumMod val="75000"/>
              </a:schemeClr>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'Stage7-chart3'!$B$2:$I$2</c:f>
              <c:numCache>
                <c:formatCode>0.00%</c:formatCode>
                <c:ptCount val="8"/>
                <c:pt idx="0">
                  <c:v>0.13699074825515339</c:v>
                </c:pt>
                <c:pt idx="1">
                  <c:v>0.13399000848336318</c:v>
                </c:pt>
                <c:pt idx="2">
                  <c:v>0.13100616016427105</c:v>
                </c:pt>
                <c:pt idx="3">
                  <c:v>0.12800338409475465</c:v>
                </c:pt>
                <c:pt idx="4">
                  <c:v>0.11897802862326144</c:v>
                </c:pt>
                <c:pt idx="5">
                  <c:v>0.12098521239521522</c:v>
                </c:pt>
                <c:pt idx="6">
                  <c:v>0.12398383012749323</c:v>
                </c:pt>
                <c:pt idx="7">
                  <c:v>0.12302235497269799</c:v>
                </c:pt>
              </c:numCache>
            </c:numRef>
          </c:val>
          <c:extLst>
            <c:ext xmlns:c16="http://schemas.microsoft.com/office/drawing/2014/chart" uri="{C3380CC4-5D6E-409C-BE32-E72D297353CC}">
              <c16:uniqueId val="{00000000-C920-40FD-AF87-AA7D8319E74C}"/>
            </c:ext>
          </c:extLst>
        </c:ser>
        <c:ser>
          <c:idx val="1"/>
          <c:order val="1"/>
          <c:tx>
            <c:strRef>
              <c:f>'Stage7-chart3'!$A$3</c:f>
              <c:strCache>
                <c:ptCount val="1"/>
                <c:pt idx="0">
                  <c:v>Distribution &amp; Selling</c:v>
                </c:pt>
              </c:strCache>
            </c:strRef>
          </c:tx>
          <c:spPr>
            <a:solidFill>
              <a:srgbClr val="C00000"/>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'Stage7-chart3'!$B$3:$I$3</c:f>
              <c:numCache>
                <c:formatCode>0.00%</c:formatCode>
                <c:ptCount val="8"/>
                <c:pt idx="0">
                  <c:v>0.21798409349131634</c:v>
                </c:pt>
                <c:pt idx="1">
                  <c:v>0.22198133660099914</c:v>
                </c:pt>
                <c:pt idx="2">
                  <c:v>0.22400182523385809</c:v>
                </c:pt>
                <c:pt idx="3">
                  <c:v>0.22301184433164128</c:v>
                </c:pt>
                <c:pt idx="4">
                  <c:v>0.27000604716790971</c:v>
                </c:pt>
                <c:pt idx="5">
                  <c:v>0.23401149100499199</c:v>
                </c:pt>
                <c:pt idx="6">
                  <c:v>0.24299231486828662</c:v>
                </c:pt>
                <c:pt idx="7">
                  <c:v>0.25799225276520277</c:v>
                </c:pt>
              </c:numCache>
            </c:numRef>
          </c:val>
          <c:extLst>
            <c:ext xmlns:c16="http://schemas.microsoft.com/office/drawing/2014/chart" uri="{C3380CC4-5D6E-409C-BE32-E72D297353CC}">
              <c16:uniqueId val="{00000001-C920-40FD-AF87-AA7D8319E74C}"/>
            </c:ext>
          </c:extLst>
        </c:ser>
        <c:ser>
          <c:idx val="2"/>
          <c:order val="2"/>
          <c:tx>
            <c:strRef>
              <c:f>'Stage7-chart3'!$A$4</c:f>
              <c:strCache>
                <c:ptCount val="1"/>
                <c:pt idx="0">
                  <c:v>G&amp;A</c:v>
                </c:pt>
              </c:strCache>
            </c:strRef>
          </c:tx>
          <c:spPr>
            <a:solidFill>
              <a:srgbClr val="00B050"/>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'Stage7-chart3'!$B$4:$I$4</c:f>
              <c:numCache>
                <c:formatCode>0.00%</c:formatCode>
                <c:ptCount val="8"/>
                <c:pt idx="0">
                  <c:v>5.3995563490775306E-2</c:v>
                </c:pt>
                <c:pt idx="1">
                  <c:v>5.3021019888773682E-2</c:v>
                </c:pt>
                <c:pt idx="2">
                  <c:v>5.2019164955509928E-2</c:v>
                </c:pt>
                <c:pt idx="3">
                  <c:v>5.6979695431472084E-2</c:v>
                </c:pt>
                <c:pt idx="4">
                  <c:v>6.5007055029227975E-2</c:v>
                </c:pt>
                <c:pt idx="5">
                  <c:v>6.0987096166525381E-2</c:v>
                </c:pt>
                <c:pt idx="6">
                  <c:v>7.8006308027186708E-2</c:v>
                </c:pt>
                <c:pt idx="7">
                  <c:v>7.2992019414757081E-2</c:v>
                </c:pt>
              </c:numCache>
            </c:numRef>
          </c:val>
          <c:extLst>
            <c:ext xmlns:c16="http://schemas.microsoft.com/office/drawing/2014/chart" uri="{C3380CC4-5D6E-409C-BE32-E72D297353CC}">
              <c16:uniqueId val="{00000002-C920-40FD-AF87-AA7D8319E74C}"/>
            </c:ext>
          </c:extLst>
        </c:ser>
        <c:ser>
          <c:idx val="3"/>
          <c:order val="3"/>
          <c:tx>
            <c:strRef>
              <c:f>'Stage7-chart3'!$A$5</c:f>
              <c:strCache>
                <c:ptCount val="1"/>
                <c:pt idx="0">
                  <c:v>Sundry Expenses</c:v>
                </c:pt>
              </c:strCache>
            </c:strRef>
          </c:tx>
          <c:spPr>
            <a:solidFill>
              <a:schemeClr val="accent4">
                <a:lumMod val="75000"/>
              </a:schemeClr>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'Stage7-chart3'!$B$5:$I$5</c:f>
              <c:numCache>
                <c:formatCode>0.00%</c:formatCode>
                <c:ptCount val="8"/>
                <c:pt idx="0">
                  <c:v>1.0009197641075582E-2</c:v>
                </c:pt>
                <c:pt idx="1">
                  <c:v>9.991516636817797E-3</c:v>
                </c:pt>
                <c:pt idx="2">
                  <c:v>9.9931553730321695E-3</c:v>
                </c:pt>
                <c:pt idx="3">
                  <c:v>9.9830795262267347E-3</c:v>
                </c:pt>
                <c:pt idx="4">
                  <c:v>9.9778270509977823E-3</c:v>
                </c:pt>
                <c:pt idx="5">
                  <c:v>9.9839879438636155E-3</c:v>
                </c:pt>
                <c:pt idx="6">
                  <c:v>9.9951135000666338E-3</c:v>
                </c:pt>
                <c:pt idx="7">
                  <c:v>1.1994212908946656E-2</c:v>
                </c:pt>
              </c:numCache>
            </c:numRef>
          </c:val>
          <c:extLst>
            <c:ext xmlns:c16="http://schemas.microsoft.com/office/drawing/2014/chart" uri="{C3380CC4-5D6E-409C-BE32-E72D297353CC}">
              <c16:uniqueId val="{00000003-C920-40FD-AF87-AA7D8319E74C}"/>
            </c:ext>
          </c:extLst>
        </c:ser>
        <c:ser>
          <c:idx val="4"/>
          <c:order val="4"/>
          <c:tx>
            <c:strRef>
              <c:f>'Stage7-chart3'!$A$6</c:f>
              <c:strCache>
                <c:ptCount val="1"/>
                <c:pt idx="0">
                  <c:v>Goodwill / Intangible Impairment</c:v>
                </c:pt>
              </c:strCache>
            </c:strRef>
          </c:tx>
          <c:spPr>
            <a:solidFill>
              <a:schemeClr val="accent5"/>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'Stage7-chart3'!$B$6:$I$6</c:f>
              <c:numCache>
                <c:formatCode>0.00%</c:formatCode>
                <c:ptCount val="8"/>
                <c:pt idx="0">
                  <c:v>0</c:v>
                </c:pt>
                <c:pt idx="1">
                  <c:v>0</c:v>
                </c:pt>
                <c:pt idx="2">
                  <c:v>0</c:v>
                </c:pt>
                <c:pt idx="3">
                  <c:v>0</c:v>
                </c:pt>
                <c:pt idx="4">
                  <c:v>0</c:v>
                </c:pt>
                <c:pt idx="5">
                  <c:v>0</c:v>
                </c:pt>
                <c:pt idx="6">
                  <c:v>8.6180089733907863E-3</c:v>
                </c:pt>
                <c:pt idx="7">
                  <c:v>0</c:v>
                </c:pt>
              </c:numCache>
            </c:numRef>
          </c:val>
          <c:extLst>
            <c:ext xmlns:c16="http://schemas.microsoft.com/office/drawing/2014/chart" uri="{C3380CC4-5D6E-409C-BE32-E72D297353CC}">
              <c16:uniqueId val="{00000004-C920-40FD-AF87-AA7D8319E74C}"/>
            </c:ext>
          </c:extLst>
        </c:ser>
        <c:dLbls>
          <c:showLegendKey val="0"/>
          <c:showVal val="0"/>
          <c:showCatName val="0"/>
          <c:showSerName val="0"/>
          <c:showPercent val="0"/>
          <c:showBubbleSize val="0"/>
        </c:dLbls>
        <c:gapWidth val="150"/>
        <c:overlap val="100"/>
        <c:axId val="421405343"/>
        <c:axId val="1907888431"/>
      </c:barChart>
      <c:catAx>
        <c:axId val="42140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Fiscal</a:t>
                </a:r>
                <a:r>
                  <a:rPr lang="en-IN" baseline="0">
                    <a:solidFill>
                      <a:schemeClr val="tx1"/>
                    </a:solidFill>
                  </a:rPr>
                  <a: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7888431"/>
        <c:crosses val="autoZero"/>
        <c:auto val="1"/>
        <c:lblAlgn val="ctr"/>
        <c:lblOffset val="100"/>
        <c:noMultiLvlLbl val="0"/>
      </c:catAx>
      <c:valAx>
        <c:axId val="1907888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b="0" i="0" u="none" strike="noStrike" baseline="0">
                    <a:solidFill>
                      <a:schemeClr val="tx1"/>
                    </a:solidFill>
                    <a:effectLst/>
                  </a:rPr>
                  <a:t>% of Net Sales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140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Revenue: FY2019 vs FY2023</a:t>
            </a:r>
          </a:p>
        </c:rich>
      </c:tx>
      <c:layout>
        <c:manualLayout>
          <c:xMode val="edge"/>
          <c:yMode val="edge"/>
          <c:x val="0.25224145583666219"/>
          <c:y val="2.71739130434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'Stage7-chart4'!$B$1</c:f>
              <c:strCache>
                <c:ptCount val="1"/>
                <c:pt idx="0">
                  <c:v>FY2019 Restated (€mn)</c:v>
                </c:pt>
              </c:strCache>
            </c:strRef>
          </c:tx>
          <c:spPr>
            <a:solidFill>
              <a:schemeClr val="accent1">
                <a:lumMod val="75000"/>
              </a:schemeClr>
            </a:solidFill>
            <a:ln>
              <a:noFill/>
            </a:ln>
            <a:effectLst/>
          </c:spPr>
          <c:invertIfNegative val="0"/>
          <c:cat>
            <c:strRef>
              <c:f>'Stage7-chart4'!$A$2:$A$7</c:f>
              <c:strCache>
                <c:ptCount val="6"/>
                <c:pt idx="0">
                  <c:v>EMEA</c:v>
                </c:pt>
                <c:pt idx="1">
                  <c:v>North America</c:v>
                </c:pt>
                <c:pt idx="2">
                  <c:v>Greater China</c:v>
                </c:pt>
                <c:pt idx="3">
                  <c:v>Asia-Pacific</c:v>
                </c:pt>
                <c:pt idx="4">
                  <c:v>Latin America</c:v>
                </c:pt>
                <c:pt idx="5">
                  <c:v>Other Businesses</c:v>
                </c:pt>
              </c:strCache>
            </c:strRef>
          </c:cat>
          <c:val>
            <c:numRef>
              <c:f>'Stage7-chart4'!$B$2:$B$7</c:f>
              <c:numCache>
                <c:formatCode>#,##0</c:formatCode>
                <c:ptCount val="6"/>
                <c:pt idx="0">
                  <c:v>8369</c:v>
                </c:pt>
                <c:pt idx="1">
                  <c:v>4917</c:v>
                </c:pt>
                <c:pt idx="2">
                  <c:v>4728</c:v>
                </c:pt>
                <c:pt idx="3">
                  <c:v>2931</c:v>
                </c:pt>
                <c:pt idx="4">
                  <c:v>1726</c:v>
                </c:pt>
                <c:pt idx="5" formatCode="General">
                  <c:v>969</c:v>
                </c:pt>
              </c:numCache>
            </c:numRef>
          </c:val>
          <c:extLst>
            <c:ext xmlns:c16="http://schemas.microsoft.com/office/drawing/2014/chart" uri="{C3380CC4-5D6E-409C-BE32-E72D297353CC}">
              <c16:uniqueId val="{00000000-CC09-4E08-B974-DEEC72307A5C}"/>
            </c:ext>
          </c:extLst>
        </c:ser>
        <c:ser>
          <c:idx val="1"/>
          <c:order val="1"/>
          <c:tx>
            <c:strRef>
              <c:f>'Stage7-chart4'!$C$1</c:f>
              <c:strCache>
                <c:ptCount val="1"/>
                <c:pt idx="0">
                  <c:v>FY2023 (€mn)</c:v>
                </c:pt>
              </c:strCache>
            </c:strRef>
          </c:tx>
          <c:spPr>
            <a:solidFill>
              <a:schemeClr val="accent5">
                <a:lumMod val="60000"/>
                <a:lumOff val="40000"/>
              </a:schemeClr>
            </a:solidFill>
            <a:ln>
              <a:noFill/>
            </a:ln>
            <a:effectLst/>
          </c:spPr>
          <c:invertIfNegative val="0"/>
          <c:cat>
            <c:strRef>
              <c:f>'Stage7-chart4'!$A$2:$A$7</c:f>
              <c:strCache>
                <c:ptCount val="6"/>
                <c:pt idx="0">
                  <c:v>EMEA</c:v>
                </c:pt>
                <c:pt idx="1">
                  <c:v>North America</c:v>
                </c:pt>
                <c:pt idx="2">
                  <c:v>Greater China</c:v>
                </c:pt>
                <c:pt idx="3">
                  <c:v>Asia-Pacific</c:v>
                </c:pt>
                <c:pt idx="4">
                  <c:v>Latin America</c:v>
                </c:pt>
                <c:pt idx="5">
                  <c:v>Other Businesses</c:v>
                </c:pt>
              </c:strCache>
            </c:strRef>
          </c:cat>
          <c:val>
            <c:numRef>
              <c:f>'Stage7-chart4'!$C$2:$C$7</c:f>
              <c:numCache>
                <c:formatCode>#,##0</c:formatCode>
                <c:ptCount val="6"/>
                <c:pt idx="0">
                  <c:v>7585</c:v>
                </c:pt>
                <c:pt idx="1">
                  <c:v>5142</c:v>
                </c:pt>
                <c:pt idx="2">
                  <c:v>3257</c:v>
                </c:pt>
                <c:pt idx="3">
                  <c:v>2807</c:v>
                </c:pt>
                <c:pt idx="4">
                  <c:v>2057</c:v>
                </c:pt>
                <c:pt idx="5" formatCode="General">
                  <c:v>579</c:v>
                </c:pt>
              </c:numCache>
            </c:numRef>
          </c:val>
          <c:extLst>
            <c:ext xmlns:c16="http://schemas.microsoft.com/office/drawing/2014/chart" uri="{C3380CC4-5D6E-409C-BE32-E72D297353CC}">
              <c16:uniqueId val="{00000001-CC09-4E08-B974-DEEC72307A5C}"/>
            </c:ext>
          </c:extLst>
        </c:ser>
        <c:dLbls>
          <c:showLegendKey val="0"/>
          <c:showVal val="0"/>
          <c:showCatName val="0"/>
          <c:showSerName val="0"/>
          <c:showPercent val="0"/>
          <c:showBubbleSize val="0"/>
        </c:dLbls>
        <c:gapWidth val="182"/>
        <c:axId val="468818047"/>
        <c:axId val="468327823"/>
      </c:barChart>
      <c:catAx>
        <c:axId val="468818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chemeClr val="tx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8327823"/>
        <c:crosses val="autoZero"/>
        <c:auto val="1"/>
        <c:lblAlgn val="ctr"/>
        <c:lblOffset val="100"/>
        <c:noMultiLvlLbl val="0"/>
      </c:catAx>
      <c:valAx>
        <c:axId val="468327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b="1" i="0" u="none" strike="noStrike" kern="1200" baseline="0">
                    <a:solidFill>
                      <a:schemeClr val="tx1"/>
                    </a:solidFill>
                    <a:effectLst/>
                  </a:rPr>
                  <a:t>Revenue (€ mn)</a:t>
                </a:r>
                <a:endParaRPr lang="en-IN" sz="1000" b="0" i="0" u="none" strike="noStrike" kern="1200" baseline="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8818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Revenue and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'Stage7-chart1'!$A$2</c:f>
              <c:strCache>
                <c:ptCount val="1"/>
                <c:pt idx="0">
                  <c:v>Revenue</c:v>
                </c:pt>
              </c:strCache>
            </c:strRef>
          </c:tx>
          <c:spPr>
            <a:solidFill>
              <a:schemeClr val="tx2"/>
            </a:solidFill>
            <a:ln>
              <a:noFill/>
            </a:ln>
            <a:effectLst/>
          </c:spPr>
          <c:invertIfNegative val="0"/>
          <c:cat>
            <c:strRef>
              <c:f>'Stage7-chart1'!$B$1:$I$1</c:f>
              <c:strCache>
                <c:ptCount val="8"/>
                <c:pt idx="0">
                  <c:v>FY2016</c:v>
                </c:pt>
                <c:pt idx="1">
                  <c:v>FY2017</c:v>
                </c:pt>
                <c:pt idx="2">
                  <c:v>FY2018</c:v>
                </c:pt>
                <c:pt idx="3">
                  <c:v>FY2019</c:v>
                </c:pt>
                <c:pt idx="4">
                  <c:v>FY2020</c:v>
                </c:pt>
                <c:pt idx="5">
                  <c:v>FY2021</c:v>
                </c:pt>
                <c:pt idx="6">
                  <c:v>FY2022</c:v>
                </c:pt>
                <c:pt idx="7">
                  <c:v>FY2023</c:v>
                </c:pt>
              </c:strCache>
            </c:strRef>
          </c:cat>
          <c:val>
            <c:numRef>
              <c:f>'Stage7-chart1'!$B$2:$I$2</c:f>
              <c:numCache>
                <c:formatCode>General</c:formatCode>
                <c:ptCount val="8"/>
                <c:pt idx="0">
                  <c:v>18483</c:v>
                </c:pt>
                <c:pt idx="1">
                  <c:v>21218</c:v>
                </c:pt>
                <c:pt idx="2">
                  <c:v>21915</c:v>
                </c:pt>
                <c:pt idx="3">
                  <c:v>23640</c:v>
                </c:pt>
                <c:pt idx="4">
                  <c:v>19844</c:v>
                </c:pt>
                <c:pt idx="5">
                  <c:v>21234</c:v>
                </c:pt>
                <c:pt idx="6">
                  <c:v>22511</c:v>
                </c:pt>
                <c:pt idx="7">
                  <c:v>21427</c:v>
                </c:pt>
              </c:numCache>
            </c:numRef>
          </c:val>
          <c:extLst>
            <c:ext xmlns:c16="http://schemas.microsoft.com/office/drawing/2014/chart" uri="{C3380CC4-5D6E-409C-BE32-E72D297353CC}">
              <c16:uniqueId val="{00000000-F385-4433-BC03-A88017CB5ED2}"/>
            </c:ext>
          </c:extLst>
        </c:ser>
        <c:dLbls>
          <c:showLegendKey val="0"/>
          <c:showVal val="0"/>
          <c:showCatName val="0"/>
          <c:showSerName val="0"/>
          <c:showPercent val="0"/>
          <c:showBubbleSize val="0"/>
        </c:dLbls>
        <c:gapWidth val="219"/>
        <c:overlap val="-27"/>
        <c:axId val="1961787695"/>
        <c:axId val="1907894191"/>
      </c:barChart>
      <c:lineChart>
        <c:grouping val="standard"/>
        <c:varyColors val="0"/>
        <c:ser>
          <c:idx val="1"/>
          <c:order val="1"/>
          <c:tx>
            <c:strRef>
              <c:f>'Stage7-chart1'!$A$3</c:f>
              <c:strCache>
                <c:ptCount val="1"/>
                <c:pt idx="0">
                  <c:v>Operating Margin</c:v>
                </c:pt>
              </c:strCache>
            </c:strRef>
          </c:tx>
          <c:spPr>
            <a:ln w="28575" cap="rnd">
              <a:solidFill>
                <a:schemeClr val="accent6">
                  <a:lumMod val="75000"/>
                </a:schemeClr>
              </a:solidFill>
              <a:round/>
            </a:ln>
            <a:effectLst/>
          </c:spPr>
          <c:marker>
            <c:symbol val="none"/>
          </c:marker>
          <c:cat>
            <c:strRef>
              <c:f>'Stage7-chart1'!$B$1:$I$1</c:f>
              <c:strCache>
                <c:ptCount val="8"/>
                <c:pt idx="0">
                  <c:v>FY2016</c:v>
                </c:pt>
                <c:pt idx="1">
                  <c:v>FY2017</c:v>
                </c:pt>
                <c:pt idx="2">
                  <c:v>FY2018</c:v>
                </c:pt>
                <c:pt idx="3">
                  <c:v>FY2019</c:v>
                </c:pt>
                <c:pt idx="4">
                  <c:v>FY2020</c:v>
                </c:pt>
                <c:pt idx="5">
                  <c:v>FY2021</c:v>
                </c:pt>
                <c:pt idx="6">
                  <c:v>FY2022</c:v>
                </c:pt>
                <c:pt idx="7">
                  <c:v>FY2023</c:v>
                </c:pt>
              </c:strCache>
            </c:strRef>
          </c:cat>
          <c:val>
            <c:numRef>
              <c:f>'Stage7-chart1'!$B$3:$I$3</c:f>
              <c:numCache>
                <c:formatCode>General</c:formatCode>
                <c:ptCount val="8"/>
                <c:pt idx="0">
                  <c:v>7.6124005843207276E-2</c:v>
                </c:pt>
                <c:pt idx="1">
                  <c:v>9.3552643981525116E-2</c:v>
                </c:pt>
                <c:pt idx="2">
                  <c:v>0.10773442847364818</c:v>
                </c:pt>
                <c:pt idx="3">
                  <c:v>0.11082910321489002</c:v>
                </c:pt>
                <c:pt idx="4">
                  <c:v>4.0465631929046564E-2</c:v>
                </c:pt>
                <c:pt idx="5">
                  <c:v>8.6653480267495531E-2</c:v>
                </c:pt>
                <c:pt idx="6">
                  <c:v>1.7191595220114611E-2</c:v>
                </c:pt>
                <c:pt idx="7">
                  <c:v>1.6567881644653941E-2</c:v>
                </c:pt>
              </c:numCache>
            </c:numRef>
          </c:val>
          <c:smooth val="0"/>
          <c:extLst>
            <c:ext xmlns:c16="http://schemas.microsoft.com/office/drawing/2014/chart" uri="{C3380CC4-5D6E-409C-BE32-E72D297353CC}">
              <c16:uniqueId val="{00000001-F385-4433-BC03-A88017CB5ED2}"/>
            </c:ext>
          </c:extLst>
        </c:ser>
        <c:dLbls>
          <c:showLegendKey val="0"/>
          <c:showVal val="0"/>
          <c:showCatName val="0"/>
          <c:showSerName val="0"/>
          <c:showPercent val="0"/>
          <c:showBubbleSize val="0"/>
        </c:dLbls>
        <c:marker val="1"/>
        <c:smooth val="0"/>
        <c:axId val="236026847"/>
        <c:axId val="1907909551"/>
      </c:lineChart>
      <c:catAx>
        <c:axId val="196178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Fiscal Year</a:t>
                </a:r>
              </a:p>
            </c:rich>
          </c:tx>
          <c:layout>
            <c:manualLayout>
              <c:xMode val="edge"/>
              <c:yMode val="edge"/>
              <c:x val="0.46814814814814826"/>
              <c:y val="0.82184220035462474"/>
            </c:manualLayout>
          </c:layout>
          <c:overlay val="0"/>
          <c:spPr>
            <a:solidFill>
              <a:schemeClr val="bg1"/>
            </a:solidFill>
            <a:ln>
              <a:solidFill>
                <a:schemeClr val="tx1"/>
              </a:solid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7894191"/>
        <c:crosses val="autoZero"/>
        <c:auto val="1"/>
        <c:lblAlgn val="ctr"/>
        <c:lblOffset val="100"/>
        <c:noMultiLvlLbl val="0"/>
      </c:catAx>
      <c:valAx>
        <c:axId val="190789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Revenue (€ 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1787695"/>
        <c:crosses val="autoZero"/>
        <c:crossBetween val="between"/>
      </c:valAx>
      <c:valAx>
        <c:axId val="19079095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Operating Margin (%)</a:t>
                </a:r>
              </a:p>
            </c:rich>
          </c:tx>
          <c:layout>
            <c:manualLayout>
              <c:xMode val="edge"/>
              <c:yMode val="edge"/>
              <c:x val="0.93422429876988267"/>
              <c:y val="0.277440559393677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6026847"/>
        <c:crosses val="max"/>
        <c:crossBetween val="between"/>
      </c:valAx>
      <c:catAx>
        <c:axId val="236026847"/>
        <c:scaling>
          <c:orientation val="minMax"/>
        </c:scaling>
        <c:delete val="1"/>
        <c:axPos val="b"/>
        <c:numFmt formatCode="General" sourceLinked="1"/>
        <c:majorTickMark val="out"/>
        <c:minorTickMark val="none"/>
        <c:tickLblPos val="nextTo"/>
        <c:crossAx val="1907909551"/>
        <c:crosses val="autoZero"/>
        <c:auto val="1"/>
        <c:lblAlgn val="ctr"/>
        <c:lblOffset val="100"/>
        <c:noMultiLvlLbl val="0"/>
      </c:catAx>
      <c:spPr>
        <a:noFill/>
        <a:ln>
          <a:noFill/>
        </a:ln>
        <a:effectLst/>
      </c:spPr>
    </c:plotArea>
    <c:legend>
      <c:legendPos val="b"/>
      <c:layout>
        <c:manualLayout>
          <c:xMode val="edge"/>
          <c:yMode val="edge"/>
          <c:x val="0.32473880869058036"/>
          <c:y val="0.8894690991801053"/>
          <c:w val="0.29871068747985446"/>
          <c:h val="6.0032437247371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Profitability Margins, FY2016–FY2023</a:t>
            </a:r>
          </a:p>
        </c:rich>
      </c:tx>
      <c:overlay val="0"/>
      <c:spPr>
        <a:noFill/>
        <a:ln>
          <a:solidFill>
            <a:sysClr val="windowText" lastClr="00000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'Stage7-chart2'!$A$2</c:f>
              <c:strCache>
                <c:ptCount val="1"/>
                <c:pt idx="0">
                  <c:v>Gross Margin</c:v>
                </c:pt>
              </c:strCache>
            </c:strRef>
          </c:tx>
          <c:spPr>
            <a:ln w="28575" cap="rnd">
              <a:solidFill>
                <a:schemeClr val="accent1"/>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'Stage7-chart2'!$B$2:$I$2</c:f>
              <c:numCache>
                <c:formatCode>0.00%</c:formatCode>
                <c:ptCount val="8"/>
                <c:pt idx="0">
                  <c:v>0.4860141751880106</c:v>
                </c:pt>
                <c:pt idx="1">
                  <c:v>0.50400603261381849</c:v>
                </c:pt>
                <c:pt idx="2">
                  <c:v>0.51599361168149671</c:v>
                </c:pt>
                <c:pt idx="3">
                  <c:v>0.52000846023688663</c:v>
                </c:pt>
                <c:pt idx="4">
                  <c:v>0.49697641604515219</c:v>
                </c:pt>
                <c:pt idx="5">
                  <c:v>0.50499199397193184</c:v>
                </c:pt>
                <c:pt idx="6">
                  <c:v>0.47301319354982008</c:v>
                </c:pt>
                <c:pt idx="7">
                  <c:v>0.47500816726559947</c:v>
                </c:pt>
              </c:numCache>
            </c:numRef>
          </c:val>
          <c:smooth val="0"/>
          <c:extLst>
            <c:ext xmlns:c16="http://schemas.microsoft.com/office/drawing/2014/chart" uri="{C3380CC4-5D6E-409C-BE32-E72D297353CC}">
              <c16:uniqueId val="{00000000-B3F2-437C-9795-DF8B8BA84FE5}"/>
            </c:ext>
          </c:extLst>
        </c:ser>
        <c:ser>
          <c:idx val="1"/>
          <c:order val="1"/>
          <c:tx>
            <c:strRef>
              <c:f>'Stage7-chart2'!$A$3</c:f>
              <c:strCache>
                <c:ptCount val="1"/>
                <c:pt idx="0">
                  <c:v>Operating Margin</c:v>
                </c:pt>
              </c:strCache>
            </c:strRef>
          </c:tx>
          <c:spPr>
            <a:ln w="28575" cap="rnd">
              <a:solidFill>
                <a:schemeClr val="accent6">
                  <a:lumMod val="75000"/>
                </a:schemeClr>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'Stage7-chart2'!$B$3:$I$3</c:f>
              <c:numCache>
                <c:formatCode>0.00%</c:formatCode>
                <c:ptCount val="8"/>
                <c:pt idx="0">
                  <c:v>7.6124005843207276E-2</c:v>
                </c:pt>
                <c:pt idx="1">
                  <c:v>9.3552643981525116E-2</c:v>
                </c:pt>
                <c:pt idx="2">
                  <c:v>0.10773442847364818</c:v>
                </c:pt>
                <c:pt idx="3">
                  <c:v>0.11082910321489002</c:v>
                </c:pt>
                <c:pt idx="4">
                  <c:v>4.0465631929046564E-2</c:v>
                </c:pt>
                <c:pt idx="5">
                  <c:v>8.6653480267495531E-2</c:v>
                </c:pt>
                <c:pt idx="6">
                  <c:v>1.7191595220114611E-2</c:v>
                </c:pt>
                <c:pt idx="7">
                  <c:v>1.6567881644653941E-2</c:v>
                </c:pt>
              </c:numCache>
            </c:numRef>
          </c:val>
          <c:smooth val="0"/>
          <c:extLst>
            <c:ext xmlns:c16="http://schemas.microsoft.com/office/drawing/2014/chart" uri="{C3380CC4-5D6E-409C-BE32-E72D297353CC}">
              <c16:uniqueId val="{00000001-B3F2-437C-9795-DF8B8BA84FE5}"/>
            </c:ext>
          </c:extLst>
        </c:ser>
        <c:ser>
          <c:idx val="2"/>
          <c:order val="2"/>
          <c:tx>
            <c:strRef>
              <c:f>'Stage7-chart2'!$A$4</c:f>
              <c:strCache>
                <c:ptCount val="1"/>
                <c:pt idx="0">
                  <c:v>Net Margin</c:v>
                </c:pt>
              </c:strCache>
            </c:strRef>
          </c:tx>
          <c:spPr>
            <a:ln w="28575" cap="rnd">
              <a:solidFill>
                <a:srgbClr val="00B050"/>
              </a:solidFill>
              <a:round/>
            </a:ln>
            <a:effectLst/>
          </c:spPr>
          <c:marker>
            <c:symbol val="none"/>
          </c:marker>
          <c:cat>
            <c:strRef>
              <c:f>'Stage7-chart2'!$B$1:$I$1</c:f>
              <c:strCache>
                <c:ptCount val="8"/>
                <c:pt idx="0">
                  <c:v>FY2016</c:v>
                </c:pt>
                <c:pt idx="1">
                  <c:v>FY2017</c:v>
                </c:pt>
                <c:pt idx="2">
                  <c:v>FY2018</c:v>
                </c:pt>
                <c:pt idx="3">
                  <c:v>FY2019</c:v>
                </c:pt>
                <c:pt idx="4">
                  <c:v>FY2020</c:v>
                </c:pt>
                <c:pt idx="5">
                  <c:v>FY2021</c:v>
                </c:pt>
                <c:pt idx="6">
                  <c:v>FY2022</c:v>
                </c:pt>
                <c:pt idx="7">
                  <c:v>FY2023</c:v>
                </c:pt>
              </c:strCache>
            </c:strRef>
          </c:cat>
          <c:val>
            <c:numRef>
              <c:f>'Stage7-chart2'!$B$4:$I$4</c:f>
              <c:numCache>
                <c:formatCode>0.00%</c:formatCode>
                <c:ptCount val="8"/>
                <c:pt idx="0">
                  <c:v>5.1344478710166098E-2</c:v>
                </c:pt>
                <c:pt idx="1">
                  <c:v>6.4709209162032238E-2</c:v>
                </c:pt>
                <c:pt idx="2">
                  <c:v>7.7116130504220851E-2</c:v>
                </c:pt>
                <c:pt idx="3">
                  <c:v>7.8468697123519462E-2</c:v>
                </c:pt>
                <c:pt idx="4">
                  <c:v>1.7486393872203184E-2</c:v>
                </c:pt>
                <c:pt idx="5">
                  <c:v>6.8145427145144585E-2</c:v>
                </c:pt>
                <c:pt idx="6">
                  <c:v>2.221136333348141E-3</c:v>
                </c:pt>
                <c:pt idx="7">
                  <c:v>-1.5401129416157185E-3</c:v>
                </c:pt>
              </c:numCache>
            </c:numRef>
          </c:val>
          <c:smooth val="0"/>
          <c:extLst>
            <c:ext xmlns:c16="http://schemas.microsoft.com/office/drawing/2014/chart" uri="{C3380CC4-5D6E-409C-BE32-E72D297353CC}">
              <c16:uniqueId val="{00000002-B3F2-437C-9795-DF8B8BA84FE5}"/>
            </c:ext>
          </c:extLst>
        </c:ser>
        <c:dLbls>
          <c:showLegendKey val="0"/>
          <c:showVal val="0"/>
          <c:showCatName val="0"/>
          <c:showSerName val="0"/>
          <c:showPercent val="0"/>
          <c:showBubbleSize val="0"/>
        </c:dLbls>
        <c:smooth val="0"/>
        <c:axId val="421314863"/>
        <c:axId val="1907923951"/>
      </c:lineChart>
      <c:catAx>
        <c:axId val="42131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Fiscal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7923951"/>
        <c:crosses val="autoZero"/>
        <c:auto val="1"/>
        <c:lblAlgn val="ctr"/>
        <c:lblOffset val="100"/>
        <c:noMultiLvlLbl val="0"/>
      </c:catAx>
      <c:valAx>
        <c:axId val="190792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1314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effectLst/>
              </a:rPr>
              <a:t>Operating Expenses as % of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'Stage7-chart3'!$A$2</c:f>
              <c:strCache>
                <c:ptCount val="1"/>
                <c:pt idx="0">
                  <c:v>Marketing &amp; POS</c:v>
                </c:pt>
              </c:strCache>
            </c:strRef>
          </c:tx>
          <c:spPr>
            <a:solidFill>
              <a:schemeClr val="tx2">
                <a:lumMod val="75000"/>
              </a:schemeClr>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'Stage7-chart3'!$B$2:$I$2</c:f>
              <c:numCache>
                <c:formatCode>0.00%</c:formatCode>
                <c:ptCount val="8"/>
                <c:pt idx="0">
                  <c:v>0.13699074825515339</c:v>
                </c:pt>
                <c:pt idx="1">
                  <c:v>0.13399000848336318</c:v>
                </c:pt>
                <c:pt idx="2">
                  <c:v>0.13100616016427105</c:v>
                </c:pt>
                <c:pt idx="3">
                  <c:v>0.12800338409475465</c:v>
                </c:pt>
                <c:pt idx="4">
                  <c:v>0.11897802862326144</c:v>
                </c:pt>
                <c:pt idx="5">
                  <c:v>0.12098521239521522</c:v>
                </c:pt>
                <c:pt idx="6">
                  <c:v>0.12398383012749323</c:v>
                </c:pt>
                <c:pt idx="7">
                  <c:v>0.12302235497269799</c:v>
                </c:pt>
              </c:numCache>
            </c:numRef>
          </c:val>
          <c:extLst>
            <c:ext xmlns:c16="http://schemas.microsoft.com/office/drawing/2014/chart" uri="{C3380CC4-5D6E-409C-BE32-E72D297353CC}">
              <c16:uniqueId val="{00000000-8059-42AA-A0E8-BD2A3FD75770}"/>
            </c:ext>
          </c:extLst>
        </c:ser>
        <c:ser>
          <c:idx val="1"/>
          <c:order val="1"/>
          <c:tx>
            <c:strRef>
              <c:f>'Stage7-chart3'!$A$3</c:f>
              <c:strCache>
                <c:ptCount val="1"/>
                <c:pt idx="0">
                  <c:v>Distribution &amp; Selling</c:v>
                </c:pt>
              </c:strCache>
            </c:strRef>
          </c:tx>
          <c:spPr>
            <a:solidFill>
              <a:srgbClr val="C00000"/>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'Stage7-chart3'!$B$3:$I$3</c:f>
              <c:numCache>
                <c:formatCode>0.00%</c:formatCode>
                <c:ptCount val="8"/>
                <c:pt idx="0">
                  <c:v>0.21798409349131634</c:v>
                </c:pt>
                <c:pt idx="1">
                  <c:v>0.22198133660099914</c:v>
                </c:pt>
                <c:pt idx="2">
                  <c:v>0.22400182523385809</c:v>
                </c:pt>
                <c:pt idx="3">
                  <c:v>0.22301184433164128</c:v>
                </c:pt>
                <c:pt idx="4">
                  <c:v>0.27000604716790971</c:v>
                </c:pt>
                <c:pt idx="5">
                  <c:v>0.23401149100499199</c:v>
                </c:pt>
                <c:pt idx="6">
                  <c:v>0.24299231486828662</c:v>
                </c:pt>
                <c:pt idx="7">
                  <c:v>0.25799225276520277</c:v>
                </c:pt>
              </c:numCache>
            </c:numRef>
          </c:val>
          <c:extLst>
            <c:ext xmlns:c16="http://schemas.microsoft.com/office/drawing/2014/chart" uri="{C3380CC4-5D6E-409C-BE32-E72D297353CC}">
              <c16:uniqueId val="{00000001-8059-42AA-A0E8-BD2A3FD75770}"/>
            </c:ext>
          </c:extLst>
        </c:ser>
        <c:ser>
          <c:idx val="2"/>
          <c:order val="2"/>
          <c:tx>
            <c:strRef>
              <c:f>'Stage7-chart3'!$A$4</c:f>
              <c:strCache>
                <c:ptCount val="1"/>
                <c:pt idx="0">
                  <c:v>G&amp;A</c:v>
                </c:pt>
              </c:strCache>
            </c:strRef>
          </c:tx>
          <c:spPr>
            <a:solidFill>
              <a:srgbClr val="00B050"/>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'Stage7-chart3'!$B$4:$I$4</c:f>
              <c:numCache>
                <c:formatCode>0.00%</c:formatCode>
                <c:ptCount val="8"/>
                <c:pt idx="0">
                  <c:v>5.3995563490775306E-2</c:v>
                </c:pt>
                <c:pt idx="1">
                  <c:v>5.3021019888773682E-2</c:v>
                </c:pt>
                <c:pt idx="2">
                  <c:v>5.2019164955509928E-2</c:v>
                </c:pt>
                <c:pt idx="3">
                  <c:v>5.6979695431472084E-2</c:v>
                </c:pt>
                <c:pt idx="4">
                  <c:v>6.5007055029227975E-2</c:v>
                </c:pt>
                <c:pt idx="5">
                  <c:v>6.0987096166525381E-2</c:v>
                </c:pt>
                <c:pt idx="6">
                  <c:v>7.8006308027186708E-2</c:v>
                </c:pt>
                <c:pt idx="7">
                  <c:v>7.2992019414757081E-2</c:v>
                </c:pt>
              </c:numCache>
            </c:numRef>
          </c:val>
          <c:extLst>
            <c:ext xmlns:c16="http://schemas.microsoft.com/office/drawing/2014/chart" uri="{C3380CC4-5D6E-409C-BE32-E72D297353CC}">
              <c16:uniqueId val="{00000002-8059-42AA-A0E8-BD2A3FD75770}"/>
            </c:ext>
          </c:extLst>
        </c:ser>
        <c:ser>
          <c:idx val="3"/>
          <c:order val="3"/>
          <c:tx>
            <c:strRef>
              <c:f>'Stage7-chart3'!$A$5</c:f>
              <c:strCache>
                <c:ptCount val="1"/>
                <c:pt idx="0">
                  <c:v>Sundry Expenses</c:v>
                </c:pt>
              </c:strCache>
            </c:strRef>
          </c:tx>
          <c:spPr>
            <a:solidFill>
              <a:schemeClr val="accent4">
                <a:lumMod val="75000"/>
              </a:schemeClr>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'Stage7-chart3'!$B$5:$I$5</c:f>
              <c:numCache>
                <c:formatCode>0.00%</c:formatCode>
                <c:ptCount val="8"/>
                <c:pt idx="0">
                  <c:v>1.0009197641075582E-2</c:v>
                </c:pt>
                <c:pt idx="1">
                  <c:v>9.991516636817797E-3</c:v>
                </c:pt>
                <c:pt idx="2">
                  <c:v>9.9931553730321695E-3</c:v>
                </c:pt>
                <c:pt idx="3">
                  <c:v>9.9830795262267347E-3</c:v>
                </c:pt>
                <c:pt idx="4">
                  <c:v>9.9778270509977823E-3</c:v>
                </c:pt>
                <c:pt idx="5">
                  <c:v>9.9839879438636155E-3</c:v>
                </c:pt>
                <c:pt idx="6">
                  <c:v>9.9951135000666338E-3</c:v>
                </c:pt>
                <c:pt idx="7">
                  <c:v>1.1994212908946656E-2</c:v>
                </c:pt>
              </c:numCache>
            </c:numRef>
          </c:val>
          <c:extLst>
            <c:ext xmlns:c16="http://schemas.microsoft.com/office/drawing/2014/chart" uri="{C3380CC4-5D6E-409C-BE32-E72D297353CC}">
              <c16:uniqueId val="{00000003-8059-42AA-A0E8-BD2A3FD75770}"/>
            </c:ext>
          </c:extLst>
        </c:ser>
        <c:ser>
          <c:idx val="4"/>
          <c:order val="4"/>
          <c:tx>
            <c:strRef>
              <c:f>'Stage7-chart3'!$A$6</c:f>
              <c:strCache>
                <c:ptCount val="1"/>
                <c:pt idx="0">
                  <c:v>Goodwill / Intangible Impairment</c:v>
                </c:pt>
              </c:strCache>
            </c:strRef>
          </c:tx>
          <c:spPr>
            <a:solidFill>
              <a:schemeClr val="accent5"/>
            </a:solidFill>
            <a:ln>
              <a:noFill/>
            </a:ln>
            <a:effectLst/>
          </c:spPr>
          <c:invertIfNegative val="0"/>
          <c:cat>
            <c:strRef>
              <c:f>'Stage7-chart3'!$B$1:$I$1</c:f>
              <c:strCache>
                <c:ptCount val="8"/>
                <c:pt idx="0">
                  <c:v>FY2016</c:v>
                </c:pt>
                <c:pt idx="1">
                  <c:v>FY2017</c:v>
                </c:pt>
                <c:pt idx="2">
                  <c:v>FY2018</c:v>
                </c:pt>
                <c:pt idx="3">
                  <c:v>FY2019</c:v>
                </c:pt>
                <c:pt idx="4">
                  <c:v>FY2020</c:v>
                </c:pt>
                <c:pt idx="5">
                  <c:v>FY2021</c:v>
                </c:pt>
                <c:pt idx="6">
                  <c:v>FY2022</c:v>
                </c:pt>
                <c:pt idx="7">
                  <c:v>FY2023</c:v>
                </c:pt>
              </c:strCache>
            </c:strRef>
          </c:cat>
          <c:val>
            <c:numRef>
              <c:f>'Stage7-chart3'!$B$6:$I$6</c:f>
              <c:numCache>
                <c:formatCode>0.00%</c:formatCode>
                <c:ptCount val="8"/>
                <c:pt idx="0">
                  <c:v>0</c:v>
                </c:pt>
                <c:pt idx="1">
                  <c:v>0</c:v>
                </c:pt>
                <c:pt idx="2">
                  <c:v>0</c:v>
                </c:pt>
                <c:pt idx="3">
                  <c:v>0</c:v>
                </c:pt>
                <c:pt idx="4">
                  <c:v>0</c:v>
                </c:pt>
                <c:pt idx="5">
                  <c:v>0</c:v>
                </c:pt>
                <c:pt idx="6">
                  <c:v>8.6180089733907863E-3</c:v>
                </c:pt>
                <c:pt idx="7">
                  <c:v>0</c:v>
                </c:pt>
              </c:numCache>
            </c:numRef>
          </c:val>
          <c:extLst>
            <c:ext xmlns:c16="http://schemas.microsoft.com/office/drawing/2014/chart" uri="{C3380CC4-5D6E-409C-BE32-E72D297353CC}">
              <c16:uniqueId val="{00000004-8059-42AA-A0E8-BD2A3FD75770}"/>
            </c:ext>
          </c:extLst>
        </c:ser>
        <c:dLbls>
          <c:showLegendKey val="0"/>
          <c:showVal val="0"/>
          <c:showCatName val="0"/>
          <c:showSerName val="0"/>
          <c:showPercent val="0"/>
          <c:showBubbleSize val="0"/>
        </c:dLbls>
        <c:gapWidth val="150"/>
        <c:overlap val="100"/>
        <c:axId val="421405343"/>
        <c:axId val="1907888431"/>
      </c:barChart>
      <c:catAx>
        <c:axId val="42140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Fiscal</a:t>
                </a:r>
                <a:r>
                  <a:rPr lang="en-IN" baseline="0">
                    <a:solidFill>
                      <a:schemeClr val="tx1"/>
                    </a:solidFill>
                  </a:rPr>
                  <a: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907888431"/>
        <c:crosses val="autoZero"/>
        <c:auto val="1"/>
        <c:lblAlgn val="ctr"/>
        <c:lblOffset val="100"/>
        <c:noMultiLvlLbl val="0"/>
      </c:catAx>
      <c:valAx>
        <c:axId val="1907888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000" b="0" i="0" u="none" strike="noStrike" baseline="0">
                    <a:solidFill>
                      <a:schemeClr val="tx1"/>
                    </a:solidFill>
                    <a:effectLst/>
                  </a:rPr>
                  <a:t>% of Net Sales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140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Regional Revenue: FY2019 vs FY2023</a:t>
            </a:r>
          </a:p>
        </c:rich>
      </c:tx>
      <c:layout>
        <c:manualLayout>
          <c:xMode val="edge"/>
          <c:yMode val="edge"/>
          <c:x val="0.1830713848515971"/>
          <c:y val="4.5692257217847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'Stage7-chart4'!$B$1</c:f>
              <c:strCache>
                <c:ptCount val="1"/>
                <c:pt idx="0">
                  <c:v>FY2019 Restated (€mn)</c:v>
                </c:pt>
              </c:strCache>
            </c:strRef>
          </c:tx>
          <c:spPr>
            <a:solidFill>
              <a:schemeClr val="accent1">
                <a:lumMod val="75000"/>
              </a:schemeClr>
            </a:solidFill>
            <a:ln>
              <a:noFill/>
            </a:ln>
            <a:effectLst/>
          </c:spPr>
          <c:invertIfNegative val="0"/>
          <c:cat>
            <c:strRef>
              <c:f>'Stage7-chart4'!$A$2:$A$7</c:f>
              <c:strCache>
                <c:ptCount val="6"/>
                <c:pt idx="0">
                  <c:v>EMEA</c:v>
                </c:pt>
                <c:pt idx="1">
                  <c:v>North America</c:v>
                </c:pt>
                <c:pt idx="2">
                  <c:v>Greater China</c:v>
                </c:pt>
                <c:pt idx="3">
                  <c:v>Asia-Pacific</c:v>
                </c:pt>
                <c:pt idx="4">
                  <c:v>Latin America</c:v>
                </c:pt>
                <c:pt idx="5">
                  <c:v>Other Businesses</c:v>
                </c:pt>
              </c:strCache>
            </c:strRef>
          </c:cat>
          <c:val>
            <c:numRef>
              <c:f>'Stage7-chart4'!$B$2:$B$7</c:f>
              <c:numCache>
                <c:formatCode>#,##0</c:formatCode>
                <c:ptCount val="6"/>
                <c:pt idx="0">
                  <c:v>8369</c:v>
                </c:pt>
                <c:pt idx="1">
                  <c:v>4917</c:v>
                </c:pt>
                <c:pt idx="2">
                  <c:v>4728</c:v>
                </c:pt>
                <c:pt idx="3">
                  <c:v>2931</c:v>
                </c:pt>
                <c:pt idx="4">
                  <c:v>1726</c:v>
                </c:pt>
                <c:pt idx="5" formatCode="General">
                  <c:v>969</c:v>
                </c:pt>
              </c:numCache>
            </c:numRef>
          </c:val>
          <c:extLst>
            <c:ext xmlns:c16="http://schemas.microsoft.com/office/drawing/2014/chart" uri="{C3380CC4-5D6E-409C-BE32-E72D297353CC}">
              <c16:uniqueId val="{00000000-6053-4A1A-95A4-E80F8AD23610}"/>
            </c:ext>
          </c:extLst>
        </c:ser>
        <c:ser>
          <c:idx val="1"/>
          <c:order val="1"/>
          <c:tx>
            <c:strRef>
              <c:f>'Stage7-chart4'!$C$1</c:f>
              <c:strCache>
                <c:ptCount val="1"/>
                <c:pt idx="0">
                  <c:v>FY2023 (€mn)</c:v>
                </c:pt>
              </c:strCache>
            </c:strRef>
          </c:tx>
          <c:spPr>
            <a:solidFill>
              <a:schemeClr val="accent5">
                <a:lumMod val="60000"/>
                <a:lumOff val="40000"/>
              </a:schemeClr>
            </a:solidFill>
            <a:ln>
              <a:noFill/>
            </a:ln>
            <a:effectLst/>
          </c:spPr>
          <c:invertIfNegative val="0"/>
          <c:cat>
            <c:strRef>
              <c:f>'Stage7-chart4'!$A$2:$A$7</c:f>
              <c:strCache>
                <c:ptCount val="6"/>
                <c:pt idx="0">
                  <c:v>EMEA</c:v>
                </c:pt>
                <c:pt idx="1">
                  <c:v>North America</c:v>
                </c:pt>
                <c:pt idx="2">
                  <c:v>Greater China</c:v>
                </c:pt>
                <c:pt idx="3">
                  <c:v>Asia-Pacific</c:v>
                </c:pt>
                <c:pt idx="4">
                  <c:v>Latin America</c:v>
                </c:pt>
                <c:pt idx="5">
                  <c:v>Other Businesses</c:v>
                </c:pt>
              </c:strCache>
            </c:strRef>
          </c:cat>
          <c:val>
            <c:numRef>
              <c:f>'Stage7-chart4'!$C$2:$C$7</c:f>
              <c:numCache>
                <c:formatCode>#,##0</c:formatCode>
                <c:ptCount val="6"/>
                <c:pt idx="0">
                  <c:v>7585</c:v>
                </c:pt>
                <c:pt idx="1">
                  <c:v>5142</c:v>
                </c:pt>
                <c:pt idx="2">
                  <c:v>3257</c:v>
                </c:pt>
                <c:pt idx="3">
                  <c:v>2807</c:v>
                </c:pt>
                <c:pt idx="4">
                  <c:v>2057</c:v>
                </c:pt>
                <c:pt idx="5" formatCode="General">
                  <c:v>579</c:v>
                </c:pt>
              </c:numCache>
            </c:numRef>
          </c:val>
          <c:extLst>
            <c:ext xmlns:c16="http://schemas.microsoft.com/office/drawing/2014/chart" uri="{C3380CC4-5D6E-409C-BE32-E72D297353CC}">
              <c16:uniqueId val="{00000001-6053-4A1A-95A4-E80F8AD23610}"/>
            </c:ext>
          </c:extLst>
        </c:ser>
        <c:dLbls>
          <c:showLegendKey val="0"/>
          <c:showVal val="0"/>
          <c:showCatName val="0"/>
          <c:showSerName val="0"/>
          <c:showPercent val="0"/>
          <c:showBubbleSize val="0"/>
        </c:dLbls>
        <c:gapWidth val="182"/>
        <c:axId val="468818047"/>
        <c:axId val="468327823"/>
      </c:barChart>
      <c:catAx>
        <c:axId val="468818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chemeClr val="tx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8327823"/>
        <c:crosses val="autoZero"/>
        <c:auto val="1"/>
        <c:lblAlgn val="ctr"/>
        <c:lblOffset val="100"/>
        <c:noMultiLvlLbl val="0"/>
      </c:catAx>
      <c:valAx>
        <c:axId val="468327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chemeClr val="tx1"/>
                    </a:solidFill>
                    <a:effectLst/>
                  </a:rPr>
                  <a:t>Revenue (€ mn)</a:t>
                </a:r>
                <a:endParaRPr lang="en-IN" sz="1000" b="0" i="0" u="none" strike="noStrike" kern="1200" baseline="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8818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548640</xdr:colOff>
      <xdr:row>5</xdr:row>
      <xdr:rowOff>57150</xdr:rowOff>
    </xdr:from>
    <xdr:to>
      <xdr:col>6</xdr:col>
      <xdr:colOff>457200</xdr:colOff>
      <xdr:row>24</xdr:row>
      <xdr:rowOff>91440</xdr:rowOff>
    </xdr:to>
    <xdr:graphicFrame macro="">
      <xdr:nvGraphicFramePr>
        <xdr:cNvPr id="2" name="Chart 1">
          <a:extLst>
            <a:ext uri="{FF2B5EF4-FFF2-40B4-BE49-F238E27FC236}">
              <a16:creationId xmlns:a16="http://schemas.microsoft.com/office/drawing/2014/main" id="{F988563D-BD83-45EE-1257-78DF74116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10</xdr:row>
      <xdr:rowOff>30480</xdr:rowOff>
    </xdr:from>
    <xdr:to>
      <xdr:col>12</xdr:col>
      <xdr:colOff>434340</xdr:colOff>
      <xdr:row>14</xdr:row>
      <xdr:rowOff>7620</xdr:rowOff>
    </xdr:to>
    <xdr:sp macro="" textlink="">
      <xdr:nvSpPr>
        <xdr:cNvPr id="3" name="TextBox 2">
          <a:extLst>
            <a:ext uri="{FF2B5EF4-FFF2-40B4-BE49-F238E27FC236}">
              <a16:creationId xmlns:a16="http://schemas.microsoft.com/office/drawing/2014/main" id="{ABAA4D91-7DE0-9398-76B3-5BC1B63B572C}"/>
            </a:ext>
          </a:extLst>
        </xdr:cNvPr>
        <xdr:cNvSpPr txBox="1"/>
      </xdr:nvSpPr>
      <xdr:spPr>
        <a:xfrm>
          <a:off x="9060180" y="1859280"/>
          <a:ext cx="402336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What does the divergence between the three lines tell you?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213360</xdr:colOff>
      <xdr:row>0</xdr:row>
      <xdr:rowOff>160020</xdr:rowOff>
    </xdr:from>
    <xdr:to>
      <xdr:col>18</xdr:col>
      <xdr:colOff>266700</xdr:colOff>
      <xdr:row>17</xdr:row>
      <xdr:rowOff>175260</xdr:rowOff>
    </xdr:to>
    <xdr:graphicFrame macro="">
      <xdr:nvGraphicFramePr>
        <xdr:cNvPr id="4" name="Chart 3">
          <a:extLst>
            <a:ext uri="{FF2B5EF4-FFF2-40B4-BE49-F238E27FC236}">
              <a16:creationId xmlns:a16="http://schemas.microsoft.com/office/drawing/2014/main" id="{4FFAD986-BE7E-995E-967C-6A1C36B1C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4</xdr:row>
      <xdr:rowOff>118110</xdr:rowOff>
    </xdr:from>
    <xdr:to>
      <xdr:col>14</xdr:col>
      <xdr:colOff>15240</xdr:colOff>
      <xdr:row>24</xdr:row>
      <xdr:rowOff>30480</xdr:rowOff>
    </xdr:to>
    <xdr:graphicFrame macro="">
      <xdr:nvGraphicFramePr>
        <xdr:cNvPr id="2" name="Chart 1">
          <a:extLst>
            <a:ext uri="{FF2B5EF4-FFF2-40B4-BE49-F238E27FC236}">
              <a16:creationId xmlns:a16="http://schemas.microsoft.com/office/drawing/2014/main" id="{931A39A0-02F5-B5E4-D5CA-DBCC5C147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601980</xdr:colOff>
      <xdr:row>6</xdr:row>
      <xdr:rowOff>26670</xdr:rowOff>
    </xdr:from>
    <xdr:to>
      <xdr:col>12</xdr:col>
      <xdr:colOff>502920</xdr:colOff>
      <xdr:row>23</xdr:row>
      <xdr:rowOff>129540</xdr:rowOff>
    </xdr:to>
    <xdr:graphicFrame macro="">
      <xdr:nvGraphicFramePr>
        <xdr:cNvPr id="2" name="Chart 1">
          <a:extLst>
            <a:ext uri="{FF2B5EF4-FFF2-40B4-BE49-F238E27FC236}">
              <a16:creationId xmlns:a16="http://schemas.microsoft.com/office/drawing/2014/main" id="{54CE9881-4F7F-7CA3-1AB7-4E48C6710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53340</xdr:colOff>
      <xdr:row>6</xdr:row>
      <xdr:rowOff>156210</xdr:rowOff>
    </xdr:from>
    <xdr:to>
      <xdr:col>9</xdr:col>
      <xdr:colOff>579120</xdr:colOff>
      <xdr:row>23</xdr:row>
      <xdr:rowOff>99060</xdr:rowOff>
    </xdr:to>
    <xdr:graphicFrame macro="">
      <xdr:nvGraphicFramePr>
        <xdr:cNvPr id="2" name="Chart 1">
          <a:extLst>
            <a:ext uri="{FF2B5EF4-FFF2-40B4-BE49-F238E27FC236}">
              <a16:creationId xmlns:a16="http://schemas.microsoft.com/office/drawing/2014/main" id="{9F361975-D56E-F923-1557-C0F5E22FC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1043940</xdr:colOff>
      <xdr:row>8</xdr:row>
      <xdr:rowOff>60960</xdr:rowOff>
    </xdr:from>
    <xdr:to>
      <xdr:col>11</xdr:col>
      <xdr:colOff>350520</xdr:colOff>
      <xdr:row>23</xdr:row>
      <xdr:rowOff>121920</xdr:rowOff>
    </xdr:to>
    <xdr:graphicFrame macro="">
      <xdr:nvGraphicFramePr>
        <xdr:cNvPr id="4" name="Chart 3">
          <a:extLst>
            <a:ext uri="{FF2B5EF4-FFF2-40B4-BE49-F238E27FC236}">
              <a16:creationId xmlns:a16="http://schemas.microsoft.com/office/drawing/2014/main" id="{E5BF49D7-0AC1-660D-21BB-B14850115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2</xdr:row>
      <xdr:rowOff>22860</xdr:rowOff>
    </xdr:from>
    <xdr:to>
      <xdr:col>4</xdr:col>
      <xdr:colOff>175260</xdr:colOff>
      <xdr:row>4</xdr:row>
      <xdr:rowOff>83820</xdr:rowOff>
    </xdr:to>
    <xdr:sp macro="" textlink="">
      <xdr:nvSpPr>
        <xdr:cNvPr id="5" name="Rectangle 4">
          <a:extLst>
            <a:ext uri="{FF2B5EF4-FFF2-40B4-BE49-F238E27FC236}">
              <a16:creationId xmlns:a16="http://schemas.microsoft.com/office/drawing/2014/main" id="{9E400197-32B6-B1AA-0BB0-82189A99909A}"/>
            </a:ext>
          </a:extLst>
        </xdr:cNvPr>
        <xdr:cNvSpPr/>
      </xdr:nvSpPr>
      <xdr:spPr>
        <a:xfrm>
          <a:off x="152400" y="579120"/>
          <a:ext cx="2461260" cy="44196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4</xdr:col>
      <xdr:colOff>243840</xdr:colOff>
      <xdr:row>2</xdr:row>
      <xdr:rowOff>22860</xdr:rowOff>
    </xdr:from>
    <xdr:to>
      <xdr:col>8</xdr:col>
      <xdr:colOff>441960</xdr:colOff>
      <xdr:row>4</xdr:row>
      <xdr:rowOff>91440</xdr:rowOff>
    </xdr:to>
    <xdr:sp macro="" textlink="">
      <xdr:nvSpPr>
        <xdr:cNvPr id="6" name="Rectangle 5">
          <a:extLst>
            <a:ext uri="{FF2B5EF4-FFF2-40B4-BE49-F238E27FC236}">
              <a16:creationId xmlns:a16="http://schemas.microsoft.com/office/drawing/2014/main" id="{F346D2B3-6F8C-4464-BAA4-0801347E8489}"/>
            </a:ext>
          </a:extLst>
        </xdr:cNvPr>
        <xdr:cNvSpPr/>
      </xdr:nvSpPr>
      <xdr:spPr>
        <a:xfrm>
          <a:off x="2682240" y="579120"/>
          <a:ext cx="2636520" cy="46482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320040</xdr:colOff>
      <xdr:row>2</xdr:row>
      <xdr:rowOff>22860</xdr:rowOff>
    </xdr:from>
    <xdr:to>
      <xdr:col>18</xdr:col>
      <xdr:colOff>129540</xdr:colOff>
      <xdr:row>4</xdr:row>
      <xdr:rowOff>91440</xdr:rowOff>
    </xdr:to>
    <xdr:sp macro="" textlink="">
      <xdr:nvSpPr>
        <xdr:cNvPr id="7" name="Rectangle 6">
          <a:extLst>
            <a:ext uri="{FF2B5EF4-FFF2-40B4-BE49-F238E27FC236}">
              <a16:creationId xmlns:a16="http://schemas.microsoft.com/office/drawing/2014/main" id="{2CFE09C2-BFE8-4155-B784-D1F8C21DEBB4}"/>
            </a:ext>
          </a:extLst>
        </xdr:cNvPr>
        <xdr:cNvSpPr/>
      </xdr:nvSpPr>
      <xdr:spPr>
        <a:xfrm>
          <a:off x="8244840" y="579120"/>
          <a:ext cx="2857500" cy="46482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198120</xdr:colOff>
      <xdr:row>2</xdr:row>
      <xdr:rowOff>15240</xdr:rowOff>
    </xdr:from>
    <xdr:to>
      <xdr:col>23</xdr:col>
      <xdr:colOff>53340</xdr:colOff>
      <xdr:row>4</xdr:row>
      <xdr:rowOff>91440</xdr:rowOff>
    </xdr:to>
    <xdr:sp macro="" textlink="">
      <xdr:nvSpPr>
        <xdr:cNvPr id="8" name="Rectangle 7">
          <a:extLst>
            <a:ext uri="{FF2B5EF4-FFF2-40B4-BE49-F238E27FC236}">
              <a16:creationId xmlns:a16="http://schemas.microsoft.com/office/drawing/2014/main" id="{C29A7FC6-EDDB-4699-AFE2-00EF52D35124}"/>
            </a:ext>
          </a:extLst>
        </xdr:cNvPr>
        <xdr:cNvSpPr/>
      </xdr:nvSpPr>
      <xdr:spPr>
        <a:xfrm>
          <a:off x="11170920" y="571500"/>
          <a:ext cx="2903220" cy="4572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518160</xdr:colOff>
      <xdr:row>2</xdr:row>
      <xdr:rowOff>15240</xdr:rowOff>
    </xdr:from>
    <xdr:to>
      <xdr:col>13</xdr:col>
      <xdr:colOff>259080</xdr:colOff>
      <xdr:row>4</xdr:row>
      <xdr:rowOff>91440</xdr:rowOff>
    </xdr:to>
    <xdr:sp macro="" textlink="">
      <xdr:nvSpPr>
        <xdr:cNvPr id="9" name="Rectangle 8">
          <a:extLst>
            <a:ext uri="{FF2B5EF4-FFF2-40B4-BE49-F238E27FC236}">
              <a16:creationId xmlns:a16="http://schemas.microsoft.com/office/drawing/2014/main" id="{BC4936A4-0089-43CD-9D66-81B048158288}"/>
            </a:ext>
          </a:extLst>
        </xdr:cNvPr>
        <xdr:cNvSpPr/>
      </xdr:nvSpPr>
      <xdr:spPr>
        <a:xfrm>
          <a:off x="5394960" y="571500"/>
          <a:ext cx="2788920" cy="47244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83820</xdr:colOff>
      <xdr:row>5</xdr:row>
      <xdr:rowOff>0</xdr:rowOff>
    </xdr:from>
    <xdr:to>
      <xdr:col>5</xdr:col>
      <xdr:colOff>76200</xdr:colOff>
      <xdr:row>20</xdr:row>
      <xdr:rowOff>68580</xdr:rowOff>
    </xdr:to>
    <xdr:graphicFrame macro="">
      <xdr:nvGraphicFramePr>
        <xdr:cNvPr id="10" name="Chart 9">
          <a:extLst>
            <a:ext uri="{FF2B5EF4-FFF2-40B4-BE49-F238E27FC236}">
              <a16:creationId xmlns:a16="http://schemas.microsoft.com/office/drawing/2014/main" id="{2DC3AB4B-E9A9-4317-A8DB-7D4020EAD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5</xdr:row>
      <xdr:rowOff>7620</xdr:rowOff>
    </xdr:from>
    <xdr:to>
      <xdr:col>10</xdr:col>
      <xdr:colOff>198120</xdr:colOff>
      <xdr:row>20</xdr:row>
      <xdr:rowOff>60960</xdr:rowOff>
    </xdr:to>
    <xdr:graphicFrame macro="">
      <xdr:nvGraphicFramePr>
        <xdr:cNvPr id="11" name="Chart 10">
          <a:extLst>
            <a:ext uri="{FF2B5EF4-FFF2-40B4-BE49-F238E27FC236}">
              <a16:creationId xmlns:a16="http://schemas.microsoft.com/office/drawing/2014/main" id="{16733ABB-BDAD-42C4-841A-71DD76DBB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243840</xdr:colOff>
      <xdr:row>5</xdr:row>
      <xdr:rowOff>22860</xdr:rowOff>
    </xdr:from>
    <xdr:to>
      <xdr:col>16</xdr:col>
      <xdr:colOff>502920</xdr:colOff>
      <xdr:row>20</xdr:row>
      <xdr:rowOff>68580</xdr:rowOff>
    </xdr:to>
    <xdr:graphicFrame macro="">
      <xdr:nvGraphicFramePr>
        <xdr:cNvPr id="12" name="Chart 11">
          <a:extLst>
            <a:ext uri="{FF2B5EF4-FFF2-40B4-BE49-F238E27FC236}">
              <a16:creationId xmlns:a16="http://schemas.microsoft.com/office/drawing/2014/main" id="{79AAF3E0-3ADA-4CB3-90A5-E7E14234C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556260</xdr:colOff>
      <xdr:row>5</xdr:row>
      <xdr:rowOff>22860</xdr:rowOff>
    </xdr:from>
    <xdr:to>
      <xdr:col>23</xdr:col>
      <xdr:colOff>68580</xdr:colOff>
      <xdr:row>20</xdr:row>
      <xdr:rowOff>91440</xdr:rowOff>
    </xdr:to>
    <xdr:graphicFrame macro="">
      <xdr:nvGraphicFramePr>
        <xdr:cNvPr id="13" name="Chart 12">
          <a:extLst>
            <a:ext uri="{FF2B5EF4-FFF2-40B4-BE49-F238E27FC236}">
              <a16:creationId xmlns:a16="http://schemas.microsoft.com/office/drawing/2014/main" id="{2D5CED63-65D5-4AE8-BFA6-C164B8D96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DB778-E2D9-4E48-B32C-256276CF96FD}" name="Table1" displayName="Table1" ref="A1:C281" totalsRowShown="0" headerRowDxfId="103" headerRowBorderDxfId="102" tableBorderDxfId="101">
  <autoFilter ref="A1:C281" xr:uid="{E76DB778-E2D9-4E48-B32C-256276CF96FD}"/>
  <tableColumns count="3">
    <tableColumn id="1" xr3:uid="{45B5241D-8410-481B-9B85-4631DE1EC51E}" name="Line Item"/>
    <tableColumn id="2" xr3:uid="{FCCFFD71-DB30-4B7F-A812-CE084D33423F}" name="Fiscal Year"/>
    <tableColumn id="3" xr3:uid="{72AB1569-6708-4336-BB46-6A53A5F3C248}" name="Val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3808CE-0326-49CF-8A0A-4327F2C52727}" name="Table5" displayName="Table5" ref="A1:I5" totalsRowShown="0" headerRowDxfId="100">
  <autoFilter ref="A1:I5" xr:uid="{BF3808CE-0326-49CF-8A0A-4327F2C52727}"/>
  <tableColumns count="9">
    <tableColumn id="1" xr3:uid="{721D380A-D623-4615-A4AA-6EFC96A8284B}" name="Fiscal Year" dataDxfId="99"/>
    <tableColumn id="2" xr3:uid="{B81C03AC-4266-4D7B-9CD5-6AE832FA3DD6}" name="FY2016" dataDxfId="98"/>
    <tableColumn id="3" xr3:uid="{82D004DE-1E76-4B46-92FA-C15C6BB51862}" name="FY2017" dataDxfId="97"/>
    <tableColumn id="4" xr3:uid="{10231D2E-8B81-4BEF-9187-41D470D6A2C1}" name="FY2018" dataDxfId="96"/>
    <tableColumn id="5" xr3:uid="{D9B0AF76-2CD2-4054-AA9A-DB9E8B32F78B}" name="FY2019" dataDxfId="95"/>
    <tableColumn id="6" xr3:uid="{9D009CC7-77E8-4C75-A703-7739A967307D}" name="FY2020" dataDxfId="94"/>
    <tableColumn id="7" xr3:uid="{FF1F9756-5A2E-4EE5-A065-F7A198D4F062}" name="FY2021" dataDxfId="93"/>
    <tableColumn id="8" xr3:uid="{07B4CC05-2E7F-49BE-9918-E96001B59F89}" name="FY2022" dataDxfId="92"/>
    <tableColumn id="9" xr3:uid="{084F5CD5-A46F-4E68-9076-37A7FC3F6D0E}" name="FY2023" dataDxfId="9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678C90-8EE8-4486-A2EE-3881E0BBCBD4}" name="Table6" displayName="Table6" ref="A1:I4" totalsRowShown="0" headerRowDxfId="90">
  <autoFilter ref="A1:I4" xr:uid="{C0678C90-8EE8-4486-A2EE-3881E0BBCBD4}"/>
  <tableColumns count="9">
    <tableColumn id="1" xr3:uid="{191B1E22-CE93-464B-AB4B-9DC2ACBAC72D}" name="Fiscal Year" dataDxfId="89"/>
    <tableColumn id="2" xr3:uid="{E22A5A26-CA6D-4272-A8D1-B792251FCD59}" name="FY2016"/>
    <tableColumn id="3" xr3:uid="{A8069B1F-046B-4880-B02C-846299A1CF7F}" name="FY2017"/>
    <tableColumn id="4" xr3:uid="{FF8D1410-37F8-4972-B2F0-6AFD5DB7A3C8}" name="FY2018"/>
    <tableColumn id="5" xr3:uid="{D8ECDB08-6B82-4104-B06D-B71E4D8E7E6B}" name="FY2019"/>
    <tableColumn id="6" xr3:uid="{AF4D4708-847B-4885-B30E-DBF4AD196290}" name="FY2020"/>
    <tableColumn id="7" xr3:uid="{CFB505C5-72F4-484D-9999-B7F9F65FBE0D}" name="FY2021"/>
    <tableColumn id="8" xr3:uid="{387B3011-B584-454C-890B-B5ED94A1B6D7}" name="FY2022"/>
    <tableColumn id="9" xr3:uid="{A2885C01-0FB3-4138-B8B9-D40B50B40E85}" name="FY202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40F8C3-D46A-4B1D-956B-B9CB9F1B3142}" name="Table8" displayName="Table8" ref="A1:E4" totalsRowShown="0">
  <autoFilter ref="A1:E4" xr:uid="{E240F8C3-D46A-4B1D-956B-B9CB9F1B3142}"/>
  <tableColumns count="5">
    <tableColumn id="1" xr3:uid="{494034B9-1CF6-41B2-93A1-97AA12FA7C83}" name="Metric"/>
    <tableColumn id="2" xr3:uid="{F9877285-09D7-4F9B-A99F-8CF9394F6EC0}" name="Best Year"/>
    <tableColumn id="3" xr3:uid="{C6776863-732A-4CB6-89BC-0FF820C486C4}" name="Best Value"/>
    <tableColumn id="4" xr3:uid="{FACEE0BE-2562-4408-B15D-71E1942DBA67}" name="Worst Year"/>
    <tableColumn id="5" xr3:uid="{BB30D5A5-BC04-4E94-B656-8A79770A2D5A}" name="Worst Val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8A9F4C-B6E3-4838-9881-53A5B48E81E8}" name="Table7" displayName="Table7" ref="A1:I4" totalsRowShown="0">
  <autoFilter ref="A1:I4" xr:uid="{1E8A9F4C-B6E3-4838-9881-53A5B48E81E8}"/>
  <tableColumns count="9">
    <tableColumn id="1" xr3:uid="{D73F0026-8753-46D8-9E14-955645844DD4}" name="ratios" dataDxfId="88"/>
    <tableColumn id="2" xr3:uid="{1CB9DA39-7097-4EA8-B6A5-70D801ED6DFA}" name="FY2016"/>
    <tableColumn id="3" xr3:uid="{FB9440CD-54BE-4292-B0C4-6F6474FD9ADA}" name="FY2017"/>
    <tableColumn id="4" xr3:uid="{62129076-30D8-4556-BB09-523C8F0D8124}" name="FY2018"/>
    <tableColumn id="5" xr3:uid="{BA68D5F3-258A-4A4E-A259-9F3FD5FCB27F}" name="FY2019"/>
    <tableColumn id="6" xr3:uid="{59928E9A-2102-4887-8FFC-5EC36B202F24}" name="FY2020"/>
    <tableColumn id="7" xr3:uid="{9D1C20E0-D1B3-46EE-9F72-7A90377C3C21}" name="FY2021"/>
    <tableColumn id="8" xr3:uid="{74EC081C-D9B9-49EF-87F8-EF30B7A9DCB0}" name="FY2022"/>
    <tableColumn id="9" xr3:uid="{63EF46B8-ACAF-4DA0-A9BE-D4F6CF0724BD}" name="FY20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8644440-13C9-4DE2-AF6F-B4CAFF2DB323}" name="Table15" displayName="Table15" ref="J3:M7" totalsRowShown="0">
  <autoFilter ref="J3:M7" xr:uid="{88644440-13C9-4DE2-AF6F-B4CAFF2DB323}"/>
  <tableColumns count="4">
    <tableColumn id="1" xr3:uid="{E8B4FCBA-BBBE-49DA-A117-60EDD8371AAB}" name="Line"/>
    <tableColumn id="2" xr3:uid="{DBFB1D8C-B185-4C7E-A788-7D15AD71F80D}" name="FY2019 calculation"/>
    <tableColumn id="3" xr3:uid="{C546D829-9170-48B2-92BC-BA64587E4833}" name="FY2023 calculation"/>
    <tableColumn id="4" xr3:uid="{BF489546-5EE6-4327-BAD5-643EBC6E560A}" name="Change (pp)">
      <calculatedColumnFormula>L4-K4</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9725EFE-5633-4288-BE4B-48004EABDA3A}" name="Table16" displayName="Table16" ref="A1:I5" totalsRowShown="0">
  <autoFilter ref="A1:I5" xr:uid="{C9725EFE-5633-4288-BE4B-48004EABDA3A}"/>
  <tableColumns count="9">
    <tableColumn id="1" xr3:uid="{2E832E89-2125-42E7-9B26-AEEB7C720315}" name="% OF NET SALES"/>
    <tableColumn id="2" xr3:uid="{868207C3-A663-4733-BB22-33C36F6C5CD2}" name="FY2016 calculation" dataDxfId="87"/>
    <tableColumn id="3" xr3:uid="{B53CC59F-ED2F-4F9C-A6B0-EC31398188A3}" name="FY2017 calculation" dataDxfId="86"/>
    <tableColumn id="4" xr3:uid="{898E97CD-813A-404A-A6F6-249DECC693BE}" name="FY2018 calculation" dataDxfId="85"/>
    <tableColumn id="5" xr3:uid="{1CDCBAA0-9161-457A-90FE-D0C5FF20C388}" name="FY2019 calculation" dataDxfId="84"/>
    <tableColumn id="6" xr3:uid="{CD55BA16-E9A3-451B-98A7-6142DFB322F1}" name="FY2020 calculation" dataDxfId="83"/>
    <tableColumn id="7" xr3:uid="{BA08DF50-7EAF-4D9D-BB3E-D7A99C00EB8C}" name="FY2021 calculation" dataDxfId="82"/>
    <tableColumn id="8" xr3:uid="{438DFAA7-3349-456C-8627-1AB575A934BD}" name="FY2022 calculation" dataDxfId="81"/>
    <tableColumn id="9" xr3:uid="{15BADE38-713F-4A5C-8160-3B99D79C1862}" name="FY2023 calculation" dataDxfId="8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229583E-E399-496D-B473-B75B7723394D}" name="Table17" displayName="Table17" ref="G1:O3" totalsRowShown="0">
  <autoFilter ref="G1:O3" xr:uid="{7229583E-E399-496D-B473-B75B7723394D}"/>
  <tableColumns count="9">
    <tableColumn id="1" xr3:uid="{4EADC622-FF62-4243-AAEE-301B16722EA9}" name=" "/>
    <tableColumn id="2" xr3:uid="{7F2F4449-2ACE-40C1-A65F-A9D084D7B123}" name="FY2016">
      <calculatedColumnFormula>'MASTER P&amp;L'!B$36</calculatedColumnFormula>
    </tableColumn>
    <tableColumn id="3" xr3:uid="{CB1733F8-4211-4B65-AC71-ECBBA0AB3879}" name="FY2017">
      <calculatedColumnFormula>'MASTER P&amp;L'!C$36</calculatedColumnFormula>
    </tableColumn>
    <tableColumn id="4" xr3:uid="{4FA1557F-116F-4126-8F12-4D47B3C40817}" name="FY2018">
      <calculatedColumnFormula>'MASTER P&amp;L'!D$36</calculatedColumnFormula>
    </tableColumn>
    <tableColumn id="5" xr3:uid="{45CEAE58-8271-4632-B135-D178FAC9950D}" name="FY2019">
      <calculatedColumnFormula>'MASTER P&amp;L'!E$36</calculatedColumnFormula>
    </tableColumn>
    <tableColumn id="6" xr3:uid="{C5EB98A6-404A-4656-B6BB-B7DD0C219861}" name="FY2020">
      <calculatedColumnFormula>'MASTER P&amp;L'!F$36</calculatedColumnFormula>
    </tableColumn>
    <tableColumn id="7" xr3:uid="{3E1A0A5A-3BA2-4DD4-A574-533BF57512D7}" name="FY2021">
      <calculatedColumnFormula>'MASTER P&amp;L'!G$36</calculatedColumnFormula>
    </tableColumn>
    <tableColumn id="8" xr3:uid="{D6BABAC6-4E53-4CAC-BEC7-CC9A957C9117}" name="FY2022">
      <calculatedColumnFormula>'MASTER P&amp;L'!H$36</calculatedColumnFormula>
    </tableColumn>
    <tableColumn id="9" xr3:uid="{002301D1-9A1B-49CF-AAE6-9A46995CB335}" name="FY2023">
      <calculatedColumnFormula>'MASTER P&amp;L'!I$36</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FBC8874-9327-4FC5-B020-C3F7703573FA}" name="Table18" displayName="Table18" ref="A1:D5" totalsRowShown="0">
  <autoFilter ref="A1:D5" xr:uid="{3FBC8874-9327-4FC5-B020-C3F7703573FA}"/>
  <tableColumns count="4">
    <tableColumn id="1" xr3:uid="{A44E185F-6B72-4CF6-AEAD-490EF3EDECA1}" name="Distribution Channel"/>
    <tableColumn id="2" xr3:uid="{D77A8763-BB4D-4B4D-9808-62FFA23FBA3D}" name="FY2016" dataDxfId="79"/>
    <tableColumn id="3" xr3:uid="{AAAA6A04-2A82-4FD8-8CCB-620638522C42}" name="FY2023" dataDxfId="78"/>
    <tableColumn id="4" xr3:uid="{165D84D2-9DC8-413F-9C08-FFE4BB86CDA0}" name="Change" dataDxfId="7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E72DEDB-0A30-4B51-9A14-C075FFE8FA13}" name="Table19" displayName="Table19" ref="E1:M8" totalsRowShown="0" headerRowDxfId="76" dataDxfId="75">
  <autoFilter ref="E1:M8" xr:uid="{7E72DEDB-0A30-4B51-9A14-C075FFE8FA13}"/>
  <tableColumns count="9">
    <tableColumn id="1" xr3:uid="{12836981-3DE3-4586-8D1D-DBAD9FCCF2A1}" name="Region" dataDxfId="74"/>
    <tableColumn id="2" xr3:uid="{51F80FB2-E6D6-42CC-8A79-1DAF6C261308}" name="2016" dataDxfId="73"/>
    <tableColumn id="3" xr3:uid="{A6E0FA79-5A6F-40B3-BCBF-FF3AD7A51BF2}" name="2017" dataDxfId="72"/>
    <tableColumn id="4" xr3:uid="{DFF334AF-EDFD-4B4B-B635-6A2A66F5AD97}" name="2018" dataDxfId="71"/>
    <tableColumn id="5" xr3:uid="{170D9877-231C-40B9-897E-DADE4C2694F8}" name="2019" dataDxfId="70"/>
    <tableColumn id="6" xr3:uid="{6159D4E0-6A96-41B4-82F1-D302F242A968}" name="2020" dataDxfId="69"/>
    <tableColumn id="7" xr3:uid="{64E5F69B-FE08-4461-B30B-F6522AEA42F2}" name="2021" dataDxfId="68"/>
    <tableColumn id="8" xr3:uid="{7BDE838D-32F7-4643-9CB2-8C3F5A1077E1}" name="2022" dataDxfId="67"/>
    <tableColumn id="9" xr3:uid="{B0F5038E-9052-4AB1-979F-6E0748D8BB38}" name="2023" dataDxfId="6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0966D26-D71C-4DDA-B527-3629D0C63B03}" name="Table20" displayName="Table20" ref="A1:D8" totalsRowShown="0" headerRowDxfId="65">
  <autoFilter ref="A1:D8" xr:uid="{70966D26-D71C-4DDA-B527-3629D0C63B03}"/>
  <tableColumns count="4">
    <tableColumn id="1" xr3:uid="{684E4FB5-47FD-4EB4-87CA-745BEF0C5E8A}" name="Region"/>
    <tableColumn id="2" xr3:uid="{B897410E-E5FB-4EA9-9ED3-BA88343D0BB8}" name="FY2019 Restated (€mn)" dataDxfId="64"/>
    <tableColumn id="3" xr3:uid="{0314D328-A1CA-4C68-91AF-D7285A67EED2}" name="FY2023 (€mn)" dataDxfId="63"/>
    <tableColumn id="4" xr3:uid="{0C413166-4642-45B4-86DE-86721716854C}" name="Contribution to Revenue Change (€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CD93D0-99B3-4F30-B7FA-FAAA2DD52383}" name="Table21" displayName="Table21" ref="A5:D13" totalsRowShown="0">
  <autoFilter ref="A5:D13" xr:uid="{09CD93D0-99B3-4F30-B7FA-FAAA2DD52383}"/>
  <tableColumns count="4">
    <tableColumn id="1" xr3:uid="{6CC96844-E021-426C-B0B7-F0C9E44374E6}" name="Year"/>
    <tableColumn id="2" xr3:uid="{7424E092-438D-4CD8-962B-E6DF07C28183}" name="Total Revenue (€mn)" dataDxfId="62"/>
    <tableColumn id="3" xr3:uid="{925822C4-0867-4542-9EC7-060D016A5819}" name="Employees (FTE)" dataDxfId="61"/>
    <tableColumn id="4" xr3:uid="{45278A46-7571-4EBD-B04E-0ED4671BCD6E}" name="Revenue per Employee (€'000)">
      <calculatedColumnFormula>(B6*1000)/C6</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1590EC7-A836-43E0-B1F8-0FBD411143E4}" name="Table12" displayName="Table12" ref="A1:I5" totalsRowShown="0" headerRowDxfId="60" dataDxfId="59">
  <autoFilter ref="A1:I5" xr:uid="{61590EC7-A836-43E0-B1F8-0FBD411143E4}"/>
  <tableColumns count="9">
    <tableColumn id="1" xr3:uid="{6280C9C1-8E74-4DB1-95CD-596DF82E3EF1}" name="BY PRODUCT CATEGORY" dataDxfId="58"/>
    <tableColumn id="2" xr3:uid="{1068AA45-11B7-437B-BA57-41E193EBADDA}" name="FY2016" dataDxfId="57"/>
    <tableColumn id="3" xr3:uid="{5F305458-5C71-4AE0-A6B0-66CAD7F9295E}" name="FY2017" dataDxfId="56"/>
    <tableColumn id="4" xr3:uid="{C659748C-9ABA-44C9-945F-D58A0ACDDC30}" name="FY2018" dataDxfId="55"/>
    <tableColumn id="5" xr3:uid="{E6CB81BA-B6FB-4AC6-A0A4-E6C47A3B45EF}" name="FY2019" dataDxfId="54"/>
    <tableColumn id="6" xr3:uid="{28E34481-0AF4-4EB0-9315-F46C4611AF9A}" name="FY2020" dataDxfId="53"/>
    <tableColumn id="7" xr3:uid="{9A4D250D-23A2-4E8A-BAAF-7D9B2826D122}" name="FY2021" dataDxfId="52"/>
    <tableColumn id="8" xr3:uid="{35E39CCD-B09E-42B7-8946-FBA0AD98C2B2}" name="FY2022" dataDxfId="51"/>
    <tableColumn id="9" xr3:uid="{3A16BCDB-39A0-4D76-9BE0-F7191EC87EA4}" name="FY2023" dataDxfId="50"/>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E0D2F7-81F3-4559-8C3D-BB055B29E857}" name="Table3" displayName="Table3" ref="A1:K29" totalsRowShown="0">
  <autoFilter ref="A1:K29" xr:uid="{6DE0D2F7-81F3-4559-8C3D-BB055B29E857}"/>
  <tableColumns count="11">
    <tableColumn id="1" xr3:uid="{36514F34-77BE-4EBB-82EF-7E90450B5E1F}" name="Line Item"/>
    <tableColumn id="11" xr3:uid="{A529466D-BADD-419A-B610-955A6E240227}" name="Statement Group" dataDxfId="49">
      <calculatedColumnFormula>_xlfn.XLOOKUP(A2,'lookup tables'!$A$2:$A$28,'lookup tables'!$B$2:$B$28,"Not Found",0)</calculatedColumnFormula>
    </tableColumn>
    <tableColumn id="10" xr3:uid="{240BDE54-C5F4-47E8-AC1B-F79931A38FBD}" name="Sign Convention" dataDxfId="48">
      <calculatedColumnFormula>_xlfn.XLOOKUP(A2,'lookup tables'!$A$2:$A$28,'lookup tables'!$C$2:$C$28,"Not Found",0)</calculatedColumnFormula>
    </tableColumn>
    <tableColumn id="2" xr3:uid="{66AF9664-9EA7-4435-953A-2020D8656C86}" name="FY2016"/>
    <tableColumn id="3" xr3:uid="{531D2114-F2C2-4843-B2E7-17B0E6FEDA7B}" name="FY2017"/>
    <tableColumn id="4" xr3:uid="{D3ED0B7C-2ACD-405F-8713-E061BEDAF2A7}" name="FY2018"/>
    <tableColumn id="5" xr3:uid="{2330D684-6250-4598-80BE-DB4662059EC0}" name="FY2019"/>
    <tableColumn id="6" xr3:uid="{64DB6138-D98F-4EAC-9568-5ACE8EDE21EA}" name="FY2020"/>
    <tableColumn id="7" xr3:uid="{FE6E9417-51D2-4B99-9332-F7B83DE762A8}" name="FY2021"/>
    <tableColumn id="8" xr3:uid="{1D6C8309-2224-4294-9F32-B8C9867F1FBD}" name="FY2022"/>
    <tableColumn id="9" xr3:uid="{4ABA6F3A-28C6-420C-967E-1CB2CD851DE4}" name="FY20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99F3EE-85CE-491E-B53E-44F50AA6DCC3}" name="Table10" displayName="Table10" ref="A1:C7" totalsRowShown="0">
  <autoFilter ref="A1:C7" xr:uid="{6E99F3EE-85CE-491E-B53E-44F50AA6DCC3}"/>
  <tableColumns count="3">
    <tableColumn id="1" xr3:uid="{7876D303-7C4C-4CFD-8741-FEEFECEBF643}" name="Region"/>
    <tableColumn id="2" xr3:uid="{233D1684-A9A3-4DC2-AFA7-E2FF954AB070}" name="FY2019 Restated (€mn)" dataDxfId="47"/>
    <tableColumn id="3" xr3:uid="{E6CCCD2D-C113-4D62-B8E2-32349FB23A9A}" name="FY2023 (€mn)" dataDxfId="46"/>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B4EDC6-8A88-459F-87CD-6F6E23A746D0}" name="Table11" displayName="Table11" ref="A1:I7" totalsRowShown="0" headerRowDxfId="45" dataDxfId="44">
  <autoFilter ref="A1:I7" xr:uid="{A4B4EDC6-8A88-459F-87CD-6F6E23A746D0}"/>
  <tableColumns count="9">
    <tableColumn id="1" xr3:uid="{B6FDA150-D9FB-435E-8993-B469A72976B5}" name="Region" dataDxfId="43"/>
    <tableColumn id="2" xr3:uid="{45F19528-8C67-463A-A7F5-DC1CA9E30F7B}" name="FY2016" dataDxfId="42"/>
    <tableColumn id="3" xr3:uid="{5B8BC527-B0C0-439A-9CE0-7EAB08DB741B}" name="FY2017" dataDxfId="41"/>
    <tableColumn id="4" xr3:uid="{6F9B58CD-E845-4332-8796-40A575C2269B}" name="FY2018" dataDxfId="40"/>
    <tableColumn id="5" xr3:uid="{0B6A6FA0-9218-40E6-BF32-23A30B129E2F}" name="FY2019" dataDxfId="39"/>
    <tableColumn id="6" xr3:uid="{972B1D2E-7688-4C2D-94F1-A627E9798FAB}" name="FY2020" dataDxfId="38"/>
    <tableColumn id="7" xr3:uid="{E7BFA961-9180-4618-8699-CD55B403FEBE}" name="FY2021" dataDxfId="37"/>
    <tableColumn id="8" xr3:uid="{3C8CF373-CB42-4786-B5B8-35E48F9103DA}" name="FY2022" dataDxfId="36"/>
    <tableColumn id="9" xr3:uid="{B9924B38-6361-43F8-A2F4-54081CA16B09}" name="FY2023" dataDxfId="35"/>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40DC3B8-6E59-4F42-9D48-C1509270E519}" name="Table13" displayName="Table13" ref="A1:I3" totalsRowShown="0" headerRowDxfId="34" dataDxfId="33">
  <autoFilter ref="A1:I3" xr:uid="{E40DC3B8-6E59-4F42-9D48-C1509270E519}"/>
  <tableColumns count="9">
    <tableColumn id="1" xr3:uid="{758D1F2C-666D-48A5-81B4-1B3DAD692CF5}" name="BY BRAND" dataDxfId="32"/>
    <tableColumn id="2" xr3:uid="{45612263-1BEE-4481-BCBC-B8645315F5C2}" name="FY2016" dataDxfId="31"/>
    <tableColumn id="3" xr3:uid="{CCB3DAAA-5A18-4D83-ABF2-05EBCE9011A6}" name="FY2017" dataDxfId="30"/>
    <tableColumn id="4" xr3:uid="{28CD98E4-B651-40AC-812C-63BC1AD981DF}" name="FY2018" dataDxfId="29"/>
    <tableColumn id="5" xr3:uid="{57E72ED6-59D7-4A5E-8CC5-0AB5DE42B351}" name="FY2019" dataDxfId="28"/>
    <tableColumn id="6" xr3:uid="{B6D763FC-0503-409C-9C11-9D3B8FB2D30E}" name="FY2020" dataDxfId="27"/>
    <tableColumn id="7" xr3:uid="{D76270D5-00AC-4BD9-9372-7754B455EEF5}" name="FY2021" dataDxfId="26"/>
    <tableColumn id="8" xr3:uid="{A02A807F-3A1C-475C-A444-A1369B086697}" name="FY2022" dataDxfId="25"/>
    <tableColumn id="9" xr3:uid="{75A24C13-5C13-4A30-8A4B-479C26C5D239}" name="FY2023" dataDxfId="24"/>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C00AC7F-1723-4E65-9AC6-A003073D6D11}" name="Table14" displayName="Table14" ref="A1:C9" totalsRowShown="0">
  <autoFilter ref="A1:C9" xr:uid="{BC00AC7F-1723-4E65-9AC6-A003073D6D11}"/>
  <tableColumns count="3">
    <tableColumn id="1" xr3:uid="{CA292491-7FD3-49EA-A5D2-B461CE7654E8}" name="Fiscal Year"/>
    <tableColumn id="2" xr3:uid="{5DC5B1B2-FA7F-4AC7-8B52-C1DB4843E450}" name="Total Revenue (€mn)" dataDxfId="23"/>
    <tableColumn id="3" xr3:uid="{2A51E4CB-9133-4A8A-9809-48A386775629}" name="Employees (FTE)" dataDxfId="22"/>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0A79B8-53B0-44BD-875C-CAF28ACC7BB8}" name="Table4" displayName="Table4" ref="A1:I4" totalsRowShown="0" headerRowDxfId="21" dataDxfId="20">
  <autoFilter ref="A1:I4" xr:uid="{CD0A79B8-53B0-44BD-875C-CAF28ACC7BB8}"/>
  <tableColumns count="9">
    <tableColumn id="1" xr3:uid="{D8D5B4B4-3362-422A-BCF9-2A14393BC528}" name="BY DISTRIBUTION CHANNEL" dataDxfId="19"/>
    <tableColumn id="2" xr3:uid="{86614E4D-8827-41AA-8728-85D4CA562D89}" name="FY2016" dataDxfId="18"/>
    <tableColumn id="3" xr3:uid="{C7CD1CBD-9E80-4F87-B437-09E97FBC8E44}" name="FY2017" dataDxfId="17"/>
    <tableColumn id="4" xr3:uid="{E603405B-396C-4DE8-B85C-B672A25E8720}" name="FY2018" dataDxfId="16"/>
    <tableColumn id="5" xr3:uid="{FEDC40C1-D056-4896-B81D-3902E045C247}" name="FY2019" dataDxfId="15"/>
    <tableColumn id="6" xr3:uid="{4445C9B4-DF0D-47C6-B578-844D5DE1805F}" name="FY2020" dataDxfId="14"/>
    <tableColumn id="7" xr3:uid="{8521EE26-9420-4684-988F-59C12A79644E}" name="FY2021" dataDxfId="13"/>
    <tableColumn id="8" xr3:uid="{15989683-EF7B-4E08-82FA-3195CF6485CF}" name="FY2022" dataDxfId="12"/>
    <tableColumn id="9" xr3:uid="{20748211-85A1-47A4-B685-293C50972F03}" name="FY2023" data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281"/>
  <sheetViews>
    <sheetView workbookViewId="0">
      <selection activeCell="A57" sqref="A57"/>
    </sheetView>
  </sheetViews>
  <sheetFormatPr defaultRowHeight="14.4" x14ac:dyDescent="0.3"/>
  <cols>
    <col min="1" max="1" width="27.6640625" customWidth="1"/>
    <col min="2" max="2" width="22.6640625" customWidth="1"/>
    <col min="3" max="3" width="26.88671875" customWidth="1"/>
  </cols>
  <sheetData>
    <row r="1" spans="1:3" x14ac:dyDescent="0.3">
      <c r="A1" s="1" t="s">
        <v>0</v>
      </c>
      <c r="B1" s="1" t="s">
        <v>1</v>
      </c>
      <c r="C1" s="1" t="s">
        <v>2</v>
      </c>
    </row>
    <row r="2" spans="1:3" x14ac:dyDescent="0.3">
      <c r="A2" t="s">
        <v>3</v>
      </c>
      <c r="B2">
        <v>2016</v>
      </c>
    </row>
    <row r="3" spans="1:3" x14ac:dyDescent="0.3">
      <c r="A3" t="s">
        <v>4</v>
      </c>
      <c r="B3">
        <v>2016</v>
      </c>
      <c r="C3">
        <v>11663</v>
      </c>
    </row>
    <row r="4" spans="1:3" x14ac:dyDescent="0.3">
      <c r="A4" t="s">
        <v>5</v>
      </c>
      <c r="B4">
        <v>2016</v>
      </c>
      <c r="C4">
        <v>5841</v>
      </c>
    </row>
    <row r="5" spans="1:3" x14ac:dyDescent="0.3">
      <c r="A5" t="s">
        <v>6</v>
      </c>
      <c r="B5">
        <v>2016</v>
      </c>
      <c r="C5">
        <v>979</v>
      </c>
    </row>
    <row r="6" spans="1:3" x14ac:dyDescent="0.3">
      <c r="A6" t="s">
        <v>7</v>
      </c>
      <c r="B6">
        <v>2016</v>
      </c>
      <c r="C6">
        <v>18483</v>
      </c>
    </row>
    <row r="7" spans="1:3" x14ac:dyDescent="0.3">
      <c r="A7" t="s">
        <v>8</v>
      </c>
      <c r="B7">
        <v>2016</v>
      </c>
    </row>
    <row r="8" spans="1:3" x14ac:dyDescent="0.3">
      <c r="A8" t="s">
        <v>9</v>
      </c>
      <c r="B8">
        <v>2016</v>
      </c>
      <c r="C8">
        <v>-9500</v>
      </c>
    </row>
    <row r="9" spans="1:3" x14ac:dyDescent="0.3">
      <c r="A9" t="s">
        <v>10</v>
      </c>
      <c r="B9">
        <v>2016</v>
      </c>
      <c r="C9">
        <v>8983</v>
      </c>
    </row>
    <row r="10" spans="1:3" x14ac:dyDescent="0.3">
      <c r="A10" t="s">
        <v>11</v>
      </c>
      <c r="B10">
        <v>2016</v>
      </c>
      <c r="C10">
        <v>0.48599999999999999</v>
      </c>
    </row>
    <row r="11" spans="1:3" x14ac:dyDescent="0.3">
      <c r="A11" t="s">
        <v>12</v>
      </c>
      <c r="B11">
        <v>2016</v>
      </c>
      <c r="C11">
        <v>108</v>
      </c>
    </row>
    <row r="12" spans="1:3" x14ac:dyDescent="0.3">
      <c r="A12" t="s">
        <v>13</v>
      </c>
      <c r="B12">
        <v>2016</v>
      </c>
      <c r="C12">
        <v>60</v>
      </c>
    </row>
    <row r="13" spans="1:3" x14ac:dyDescent="0.3">
      <c r="A13" t="s">
        <v>14</v>
      </c>
      <c r="B13">
        <v>2016</v>
      </c>
    </row>
    <row r="14" spans="1:3" x14ac:dyDescent="0.3">
      <c r="A14" t="s">
        <v>15</v>
      </c>
      <c r="B14">
        <v>2016</v>
      </c>
      <c r="C14">
        <v>-2532</v>
      </c>
    </row>
    <row r="15" spans="1:3" x14ac:dyDescent="0.3">
      <c r="A15" t="s">
        <v>16</v>
      </c>
      <c r="B15">
        <v>2016</v>
      </c>
      <c r="C15">
        <v>-4029</v>
      </c>
    </row>
    <row r="16" spans="1:3" x14ac:dyDescent="0.3">
      <c r="A16" t="s">
        <v>17</v>
      </c>
      <c r="B16">
        <v>2016</v>
      </c>
      <c r="C16">
        <v>-998</v>
      </c>
    </row>
    <row r="17" spans="1:3" x14ac:dyDescent="0.3">
      <c r="A17" t="s">
        <v>18</v>
      </c>
      <c r="B17">
        <v>2016</v>
      </c>
      <c r="C17">
        <v>-185</v>
      </c>
    </row>
    <row r="18" spans="1:3" x14ac:dyDescent="0.3">
      <c r="A18" t="s">
        <v>19</v>
      </c>
      <c r="B18">
        <v>2016</v>
      </c>
      <c r="C18">
        <v>-7744</v>
      </c>
    </row>
    <row r="19" spans="1:3" x14ac:dyDescent="0.3">
      <c r="A19" t="s">
        <v>20</v>
      </c>
      <c r="B19">
        <v>2016</v>
      </c>
    </row>
    <row r="20" spans="1:3" x14ac:dyDescent="0.3">
      <c r="A20" t="s">
        <v>21</v>
      </c>
      <c r="B20">
        <v>2016</v>
      </c>
      <c r="C20">
        <v>1407</v>
      </c>
    </row>
    <row r="21" spans="1:3" x14ac:dyDescent="0.3">
      <c r="A21" t="s">
        <v>22</v>
      </c>
      <c r="B21">
        <v>2016</v>
      </c>
      <c r="C21">
        <v>7.5999999999999998E-2</v>
      </c>
    </row>
    <row r="22" spans="1:3" x14ac:dyDescent="0.3">
      <c r="A22" t="s">
        <v>23</v>
      </c>
      <c r="B22">
        <v>2016</v>
      </c>
      <c r="C22">
        <v>20</v>
      </c>
    </row>
    <row r="23" spans="1:3" x14ac:dyDescent="0.3">
      <c r="A23" t="s">
        <v>24</v>
      </c>
      <c r="B23">
        <v>2016</v>
      </c>
      <c r="C23">
        <v>-74</v>
      </c>
    </row>
    <row r="24" spans="1:3" x14ac:dyDescent="0.3">
      <c r="A24" t="s">
        <v>25</v>
      </c>
      <c r="B24">
        <v>2016</v>
      </c>
      <c r="C24">
        <v>1353</v>
      </c>
    </row>
    <row r="25" spans="1:3" x14ac:dyDescent="0.3">
      <c r="A25" t="s">
        <v>26</v>
      </c>
      <c r="B25">
        <v>2016</v>
      </c>
      <c r="C25">
        <v>-392</v>
      </c>
    </row>
    <row r="26" spans="1:3" x14ac:dyDescent="0.3">
      <c r="A26" t="s">
        <v>27</v>
      </c>
      <c r="B26">
        <v>2016</v>
      </c>
      <c r="C26">
        <v>0.28999999999999998</v>
      </c>
    </row>
    <row r="27" spans="1:3" x14ac:dyDescent="0.3">
      <c r="A27" t="s">
        <v>28</v>
      </c>
      <c r="B27">
        <v>2016</v>
      </c>
      <c r="C27">
        <v>961</v>
      </c>
    </row>
    <row r="28" spans="1:3" x14ac:dyDescent="0.3">
      <c r="A28" t="s">
        <v>29</v>
      </c>
      <c r="B28">
        <v>2016</v>
      </c>
    </row>
    <row r="29" spans="1:3" x14ac:dyDescent="0.3">
      <c r="A29" t="s">
        <v>30</v>
      </c>
      <c r="B29">
        <v>2016</v>
      </c>
      <c r="C29">
        <v>961</v>
      </c>
    </row>
    <row r="30" spans="1:3" x14ac:dyDescent="0.3">
      <c r="A30" t="s">
        <v>31</v>
      </c>
      <c r="B30">
        <v>2016</v>
      </c>
      <c r="C30">
        <v>-12</v>
      </c>
    </row>
    <row r="31" spans="1:3" x14ac:dyDescent="0.3">
      <c r="A31" t="s">
        <v>32</v>
      </c>
      <c r="B31">
        <v>2016</v>
      </c>
      <c r="C31">
        <v>949</v>
      </c>
    </row>
    <row r="32" spans="1:3" x14ac:dyDescent="0.3">
      <c r="A32" t="s">
        <v>33</v>
      </c>
      <c r="B32">
        <v>2016</v>
      </c>
      <c r="C32">
        <v>4.72</v>
      </c>
    </row>
    <row r="33" spans="1:3" x14ac:dyDescent="0.3">
      <c r="A33" t="s">
        <v>34</v>
      </c>
      <c r="B33">
        <v>2016</v>
      </c>
      <c r="C33">
        <v>4.7</v>
      </c>
    </row>
    <row r="34" spans="1:3" x14ac:dyDescent="0.3">
      <c r="A34" t="s">
        <v>35</v>
      </c>
      <c r="B34">
        <v>2016</v>
      </c>
      <c r="C34">
        <v>201</v>
      </c>
    </row>
    <row r="35" spans="1:3" x14ac:dyDescent="0.3">
      <c r="A35" t="s">
        <v>36</v>
      </c>
      <c r="B35">
        <v>2016</v>
      </c>
      <c r="C35">
        <v>201.8</v>
      </c>
    </row>
    <row r="36" spans="1:3" x14ac:dyDescent="0.3">
      <c r="A36" t="s">
        <v>37</v>
      </c>
      <c r="B36">
        <v>2016</v>
      </c>
      <c r="C36">
        <v>2</v>
      </c>
    </row>
    <row r="37" spans="1:3" x14ac:dyDescent="0.3">
      <c r="A37" t="s">
        <v>3</v>
      </c>
      <c r="B37">
        <v>2017</v>
      </c>
    </row>
    <row r="38" spans="1:3" x14ac:dyDescent="0.3">
      <c r="A38" t="s">
        <v>4</v>
      </c>
      <c r="B38">
        <v>2017</v>
      </c>
      <c r="C38">
        <v>12943</v>
      </c>
    </row>
    <row r="39" spans="1:3" x14ac:dyDescent="0.3">
      <c r="A39" t="s">
        <v>5</v>
      </c>
      <c r="B39">
        <v>2017</v>
      </c>
      <c r="C39">
        <v>7172</v>
      </c>
    </row>
    <row r="40" spans="1:3" x14ac:dyDescent="0.3">
      <c r="A40" t="s">
        <v>6</v>
      </c>
      <c r="B40">
        <v>2017</v>
      </c>
      <c r="C40">
        <v>1103</v>
      </c>
    </row>
    <row r="41" spans="1:3" x14ac:dyDescent="0.3">
      <c r="A41" t="s">
        <v>7</v>
      </c>
      <c r="B41">
        <v>2017</v>
      </c>
      <c r="C41">
        <v>21218</v>
      </c>
    </row>
    <row r="42" spans="1:3" x14ac:dyDescent="0.3">
      <c r="A42" t="s">
        <v>8</v>
      </c>
      <c r="B42">
        <v>2017</v>
      </c>
      <c r="C42">
        <v>0.14799999999999999</v>
      </c>
    </row>
    <row r="43" spans="1:3" x14ac:dyDescent="0.3">
      <c r="A43" t="s">
        <v>9</v>
      </c>
      <c r="B43">
        <v>2017</v>
      </c>
      <c r="C43">
        <v>-10524</v>
      </c>
    </row>
    <row r="44" spans="1:3" x14ac:dyDescent="0.3">
      <c r="A44" t="s">
        <v>10</v>
      </c>
      <c r="B44">
        <v>2017</v>
      </c>
      <c r="C44">
        <v>10694</v>
      </c>
    </row>
    <row r="45" spans="1:3" x14ac:dyDescent="0.3">
      <c r="A45" t="s">
        <v>11</v>
      </c>
      <c r="B45">
        <v>2017</v>
      </c>
      <c r="C45">
        <v>0.504</v>
      </c>
    </row>
    <row r="46" spans="1:3" x14ac:dyDescent="0.3">
      <c r="A46" t="s">
        <v>12</v>
      </c>
      <c r="B46">
        <v>2017</v>
      </c>
      <c r="C46">
        <v>115</v>
      </c>
    </row>
    <row r="47" spans="1:3" x14ac:dyDescent="0.3">
      <c r="A47" t="s">
        <v>13</v>
      </c>
      <c r="B47">
        <v>2017</v>
      </c>
      <c r="C47">
        <v>66</v>
      </c>
    </row>
    <row r="48" spans="1:3" x14ac:dyDescent="0.3">
      <c r="A48" t="s">
        <v>14</v>
      </c>
      <c r="B48">
        <v>2017</v>
      </c>
    </row>
    <row r="49" spans="1:3" x14ac:dyDescent="0.3">
      <c r="A49" t="s">
        <v>15</v>
      </c>
      <c r="B49">
        <v>2017</v>
      </c>
      <c r="C49">
        <v>-2843</v>
      </c>
    </row>
    <row r="50" spans="1:3" x14ac:dyDescent="0.3">
      <c r="A50" t="s">
        <v>16</v>
      </c>
      <c r="B50">
        <v>2017</v>
      </c>
      <c r="C50">
        <v>-4710</v>
      </c>
    </row>
    <row r="51" spans="1:3" x14ac:dyDescent="0.3">
      <c r="A51" t="s">
        <v>17</v>
      </c>
      <c r="B51">
        <v>2017</v>
      </c>
      <c r="C51">
        <v>-1125</v>
      </c>
    </row>
    <row r="52" spans="1:3" x14ac:dyDescent="0.3">
      <c r="A52" t="s">
        <v>18</v>
      </c>
      <c r="B52">
        <v>2017</v>
      </c>
      <c r="C52">
        <v>-212</v>
      </c>
    </row>
    <row r="53" spans="1:3" x14ac:dyDescent="0.3">
      <c r="A53" t="s">
        <v>19</v>
      </c>
      <c r="B53">
        <v>2017</v>
      </c>
      <c r="C53">
        <v>-8890</v>
      </c>
    </row>
    <row r="54" spans="1:3" x14ac:dyDescent="0.3">
      <c r="A54" t="s">
        <v>20</v>
      </c>
      <c r="B54">
        <v>2017</v>
      </c>
    </row>
    <row r="55" spans="1:3" x14ac:dyDescent="0.3">
      <c r="A55" t="s">
        <v>21</v>
      </c>
      <c r="B55">
        <v>2017</v>
      </c>
      <c r="C55">
        <v>1985</v>
      </c>
    </row>
    <row r="56" spans="1:3" x14ac:dyDescent="0.3">
      <c r="A56" t="s">
        <v>22</v>
      </c>
      <c r="B56">
        <v>2017</v>
      </c>
      <c r="C56">
        <v>9.4E-2</v>
      </c>
    </row>
    <row r="57" spans="1:3" x14ac:dyDescent="0.3">
      <c r="A57" t="s">
        <v>23</v>
      </c>
      <c r="B57">
        <v>2017</v>
      </c>
      <c r="C57">
        <v>24</v>
      </c>
    </row>
    <row r="58" spans="1:3" x14ac:dyDescent="0.3">
      <c r="A58" t="s">
        <v>24</v>
      </c>
      <c r="B58">
        <v>2017</v>
      </c>
      <c r="C58">
        <v>-82</v>
      </c>
    </row>
    <row r="59" spans="1:3" x14ac:dyDescent="0.3">
      <c r="A59" t="s">
        <v>25</v>
      </c>
      <c r="B59">
        <v>2017</v>
      </c>
      <c r="C59">
        <v>1927</v>
      </c>
    </row>
    <row r="60" spans="1:3" x14ac:dyDescent="0.3">
      <c r="A60" t="s">
        <v>26</v>
      </c>
      <c r="B60">
        <v>2017</v>
      </c>
      <c r="C60">
        <v>-540</v>
      </c>
    </row>
    <row r="61" spans="1:3" x14ac:dyDescent="0.3">
      <c r="A61" t="s">
        <v>27</v>
      </c>
      <c r="B61">
        <v>2017</v>
      </c>
      <c r="C61">
        <v>0.28000000000000003</v>
      </c>
    </row>
    <row r="62" spans="1:3" x14ac:dyDescent="0.3">
      <c r="A62" t="s">
        <v>28</v>
      </c>
      <c r="B62">
        <v>2017</v>
      </c>
      <c r="C62">
        <v>1387</v>
      </c>
    </row>
    <row r="63" spans="1:3" x14ac:dyDescent="0.3">
      <c r="A63" t="s">
        <v>29</v>
      </c>
      <c r="B63">
        <v>2017</v>
      </c>
    </row>
    <row r="64" spans="1:3" x14ac:dyDescent="0.3">
      <c r="A64" t="s">
        <v>30</v>
      </c>
      <c r="B64">
        <v>2017</v>
      </c>
      <c r="C64">
        <v>1387</v>
      </c>
    </row>
    <row r="65" spans="1:3" x14ac:dyDescent="0.3">
      <c r="A65" t="s">
        <v>31</v>
      </c>
      <c r="B65">
        <v>2017</v>
      </c>
      <c r="C65">
        <v>-14</v>
      </c>
    </row>
    <row r="66" spans="1:3" x14ac:dyDescent="0.3">
      <c r="A66" t="s">
        <v>32</v>
      </c>
      <c r="B66">
        <v>2017</v>
      </c>
      <c r="C66">
        <v>1373</v>
      </c>
    </row>
    <row r="67" spans="1:3" x14ac:dyDescent="0.3">
      <c r="A67" t="s">
        <v>33</v>
      </c>
      <c r="B67">
        <v>2017</v>
      </c>
      <c r="C67">
        <v>6.78</v>
      </c>
    </row>
    <row r="68" spans="1:3" x14ac:dyDescent="0.3">
      <c r="A68" t="s">
        <v>34</v>
      </c>
      <c r="B68">
        <v>2017</v>
      </c>
      <c r="C68">
        <v>6.75</v>
      </c>
    </row>
    <row r="69" spans="1:3" x14ac:dyDescent="0.3">
      <c r="A69" t="s">
        <v>35</v>
      </c>
      <c r="B69">
        <v>2017</v>
      </c>
      <c r="C69">
        <v>202.5</v>
      </c>
    </row>
    <row r="70" spans="1:3" x14ac:dyDescent="0.3">
      <c r="A70" t="s">
        <v>36</v>
      </c>
      <c r="B70">
        <v>2017</v>
      </c>
      <c r="C70">
        <v>203.3</v>
      </c>
    </row>
    <row r="71" spans="1:3" x14ac:dyDescent="0.3">
      <c r="A71" t="s">
        <v>37</v>
      </c>
      <c r="B71">
        <v>2017</v>
      </c>
      <c r="C71">
        <v>2.6</v>
      </c>
    </row>
    <row r="72" spans="1:3" x14ac:dyDescent="0.3">
      <c r="A72" t="s">
        <v>3</v>
      </c>
      <c r="B72">
        <v>2018</v>
      </c>
    </row>
    <row r="73" spans="1:3" x14ac:dyDescent="0.3">
      <c r="A73" t="s">
        <v>4</v>
      </c>
      <c r="B73">
        <v>2018</v>
      </c>
      <c r="C73">
        <v>12733</v>
      </c>
    </row>
    <row r="74" spans="1:3" x14ac:dyDescent="0.3">
      <c r="A74" t="s">
        <v>5</v>
      </c>
      <c r="B74">
        <v>2018</v>
      </c>
      <c r="C74">
        <v>8196</v>
      </c>
    </row>
    <row r="75" spans="1:3" x14ac:dyDescent="0.3">
      <c r="A75" t="s">
        <v>6</v>
      </c>
      <c r="B75">
        <v>2018</v>
      </c>
      <c r="C75">
        <v>986</v>
      </c>
    </row>
    <row r="76" spans="1:3" x14ac:dyDescent="0.3">
      <c r="A76" t="s">
        <v>7</v>
      </c>
      <c r="B76">
        <v>2018</v>
      </c>
      <c r="C76">
        <v>21915</v>
      </c>
    </row>
    <row r="77" spans="1:3" x14ac:dyDescent="0.3">
      <c r="A77" t="s">
        <v>8</v>
      </c>
      <c r="B77">
        <v>2018</v>
      </c>
      <c r="C77">
        <v>3.3000000000000002E-2</v>
      </c>
    </row>
    <row r="78" spans="1:3" x14ac:dyDescent="0.3">
      <c r="A78" t="s">
        <v>9</v>
      </c>
      <c r="B78">
        <v>2018</v>
      </c>
      <c r="C78">
        <v>-10607</v>
      </c>
    </row>
    <row r="79" spans="1:3" x14ac:dyDescent="0.3">
      <c r="A79" t="s">
        <v>10</v>
      </c>
      <c r="B79">
        <v>2018</v>
      </c>
      <c r="C79">
        <v>11308</v>
      </c>
    </row>
    <row r="80" spans="1:3" x14ac:dyDescent="0.3">
      <c r="A80" t="s">
        <v>11</v>
      </c>
      <c r="B80">
        <v>2018</v>
      </c>
      <c r="C80">
        <v>0.51600000000000001</v>
      </c>
    </row>
    <row r="81" spans="1:3" x14ac:dyDescent="0.3">
      <c r="A81" t="s">
        <v>12</v>
      </c>
      <c r="B81">
        <v>2018</v>
      </c>
      <c r="C81">
        <v>121</v>
      </c>
    </row>
    <row r="82" spans="1:3" x14ac:dyDescent="0.3">
      <c r="A82" t="s">
        <v>13</v>
      </c>
      <c r="B82">
        <v>2018</v>
      </c>
      <c r="C82">
        <v>71</v>
      </c>
    </row>
    <row r="83" spans="1:3" x14ac:dyDescent="0.3">
      <c r="A83" t="s">
        <v>14</v>
      </c>
      <c r="B83">
        <v>2018</v>
      </c>
    </row>
    <row r="84" spans="1:3" x14ac:dyDescent="0.3">
      <c r="A84" t="s">
        <v>15</v>
      </c>
      <c r="B84">
        <v>2018</v>
      </c>
      <c r="C84">
        <v>-2871</v>
      </c>
    </row>
    <row r="85" spans="1:3" x14ac:dyDescent="0.3">
      <c r="A85" t="s">
        <v>16</v>
      </c>
      <c r="B85">
        <v>2018</v>
      </c>
      <c r="C85">
        <v>-4909</v>
      </c>
    </row>
    <row r="86" spans="1:3" x14ac:dyDescent="0.3">
      <c r="A86" t="s">
        <v>17</v>
      </c>
      <c r="B86">
        <v>2018</v>
      </c>
      <c r="C86">
        <v>-1140</v>
      </c>
    </row>
    <row r="87" spans="1:3" x14ac:dyDescent="0.3">
      <c r="A87" t="s">
        <v>18</v>
      </c>
      <c r="B87">
        <v>2018</v>
      </c>
      <c r="C87">
        <v>-219</v>
      </c>
    </row>
    <row r="88" spans="1:3" x14ac:dyDescent="0.3">
      <c r="A88" t="s">
        <v>19</v>
      </c>
      <c r="B88">
        <v>2018</v>
      </c>
      <c r="C88">
        <v>-9139</v>
      </c>
    </row>
    <row r="89" spans="1:3" x14ac:dyDescent="0.3">
      <c r="A89" t="s">
        <v>20</v>
      </c>
      <c r="B89">
        <v>2018</v>
      </c>
    </row>
    <row r="90" spans="1:3" x14ac:dyDescent="0.3">
      <c r="A90" t="s">
        <v>21</v>
      </c>
      <c r="B90">
        <v>2018</v>
      </c>
      <c r="C90">
        <v>2361</v>
      </c>
    </row>
    <row r="91" spans="1:3" x14ac:dyDescent="0.3">
      <c r="A91" t="s">
        <v>22</v>
      </c>
      <c r="B91">
        <v>2018</v>
      </c>
      <c r="C91">
        <v>0.108</v>
      </c>
    </row>
    <row r="92" spans="1:3" x14ac:dyDescent="0.3">
      <c r="A92" t="s">
        <v>23</v>
      </c>
      <c r="B92">
        <v>2018</v>
      </c>
      <c r="C92">
        <v>28</v>
      </c>
    </row>
    <row r="93" spans="1:3" x14ac:dyDescent="0.3">
      <c r="A93" t="s">
        <v>24</v>
      </c>
      <c r="B93">
        <v>2018</v>
      </c>
      <c r="C93">
        <v>-91</v>
      </c>
    </row>
    <row r="94" spans="1:3" x14ac:dyDescent="0.3">
      <c r="A94" t="s">
        <v>25</v>
      </c>
      <c r="B94">
        <v>2018</v>
      </c>
      <c r="C94">
        <v>2298</v>
      </c>
    </row>
    <row r="95" spans="1:3" x14ac:dyDescent="0.3">
      <c r="A95" t="s">
        <v>26</v>
      </c>
      <c r="B95">
        <v>2018</v>
      </c>
      <c r="C95">
        <v>-597</v>
      </c>
    </row>
    <row r="96" spans="1:3" x14ac:dyDescent="0.3">
      <c r="A96" t="s">
        <v>27</v>
      </c>
      <c r="B96">
        <v>2018</v>
      </c>
      <c r="C96">
        <v>0.26</v>
      </c>
    </row>
    <row r="97" spans="1:3" x14ac:dyDescent="0.3">
      <c r="A97" t="s">
        <v>28</v>
      </c>
      <c r="B97">
        <v>2018</v>
      </c>
      <c r="C97">
        <v>1701</v>
      </c>
    </row>
    <row r="98" spans="1:3" x14ac:dyDescent="0.3">
      <c r="A98" t="s">
        <v>29</v>
      </c>
      <c r="B98">
        <v>2018</v>
      </c>
    </row>
    <row r="99" spans="1:3" x14ac:dyDescent="0.3">
      <c r="A99" t="s">
        <v>30</v>
      </c>
      <c r="B99">
        <v>2018</v>
      </c>
      <c r="C99">
        <v>1701</v>
      </c>
    </row>
    <row r="100" spans="1:3" x14ac:dyDescent="0.3">
      <c r="A100" t="s">
        <v>31</v>
      </c>
      <c r="B100">
        <v>2018</v>
      </c>
      <c r="C100">
        <v>-11</v>
      </c>
    </row>
    <row r="101" spans="1:3" x14ac:dyDescent="0.3">
      <c r="A101" t="s">
        <v>32</v>
      </c>
      <c r="B101">
        <v>2018</v>
      </c>
      <c r="C101">
        <v>1690</v>
      </c>
    </row>
    <row r="102" spans="1:3" x14ac:dyDescent="0.3">
      <c r="A102" t="s">
        <v>33</v>
      </c>
      <c r="B102">
        <v>2018</v>
      </c>
      <c r="C102">
        <v>8.4499999999999993</v>
      </c>
    </row>
    <row r="103" spans="1:3" x14ac:dyDescent="0.3">
      <c r="A103" t="s">
        <v>34</v>
      </c>
      <c r="B103">
        <v>2018</v>
      </c>
      <c r="C103">
        <v>8.42</v>
      </c>
    </row>
    <row r="104" spans="1:3" x14ac:dyDescent="0.3">
      <c r="A104" t="s">
        <v>35</v>
      </c>
      <c r="B104">
        <v>2018</v>
      </c>
      <c r="C104">
        <v>200</v>
      </c>
    </row>
    <row r="105" spans="1:3" x14ac:dyDescent="0.3">
      <c r="A105" t="s">
        <v>36</v>
      </c>
      <c r="B105">
        <v>2018</v>
      </c>
      <c r="C105">
        <v>200.8</v>
      </c>
    </row>
    <row r="106" spans="1:3" x14ac:dyDescent="0.3">
      <c r="A106" t="s">
        <v>37</v>
      </c>
      <c r="B106">
        <v>2018</v>
      </c>
      <c r="C106">
        <v>3.35</v>
      </c>
    </row>
    <row r="107" spans="1:3" x14ac:dyDescent="0.3">
      <c r="A107" t="s">
        <v>3</v>
      </c>
      <c r="B107">
        <v>2019</v>
      </c>
    </row>
    <row r="108" spans="1:3" x14ac:dyDescent="0.3">
      <c r="A108" t="s">
        <v>4</v>
      </c>
      <c r="B108">
        <v>2019</v>
      </c>
      <c r="C108">
        <v>13191</v>
      </c>
    </row>
    <row r="109" spans="1:3" x14ac:dyDescent="0.3">
      <c r="A109" t="s">
        <v>5</v>
      </c>
      <c r="B109">
        <v>2019</v>
      </c>
      <c r="C109">
        <v>9480</v>
      </c>
    </row>
    <row r="110" spans="1:3" x14ac:dyDescent="0.3">
      <c r="A110" t="s">
        <v>6</v>
      </c>
      <c r="B110">
        <v>2019</v>
      </c>
      <c r="C110">
        <v>969</v>
      </c>
    </row>
    <row r="111" spans="1:3" x14ac:dyDescent="0.3">
      <c r="A111" t="s">
        <v>7</v>
      </c>
      <c r="B111">
        <v>2019</v>
      </c>
      <c r="C111">
        <v>23640</v>
      </c>
    </row>
    <row r="112" spans="1:3" x14ac:dyDescent="0.3">
      <c r="A112" t="s">
        <v>8</v>
      </c>
      <c r="B112">
        <v>2019</v>
      </c>
      <c r="C112">
        <v>7.9000000000000001E-2</v>
      </c>
    </row>
    <row r="113" spans="1:3" x14ac:dyDescent="0.3">
      <c r="A113" t="s">
        <v>9</v>
      </c>
      <c r="B113">
        <v>2019</v>
      </c>
      <c r="C113">
        <v>-11347</v>
      </c>
    </row>
    <row r="114" spans="1:3" x14ac:dyDescent="0.3">
      <c r="A114" t="s">
        <v>10</v>
      </c>
      <c r="B114">
        <v>2019</v>
      </c>
      <c r="C114">
        <v>12293</v>
      </c>
    </row>
    <row r="115" spans="1:3" x14ac:dyDescent="0.3">
      <c r="A115" t="s">
        <v>11</v>
      </c>
      <c r="B115">
        <v>2019</v>
      </c>
      <c r="C115">
        <v>0.52</v>
      </c>
    </row>
    <row r="116" spans="1:3" x14ac:dyDescent="0.3">
      <c r="A116" t="s">
        <v>12</v>
      </c>
      <c r="B116">
        <v>2019</v>
      </c>
      <c r="C116">
        <v>130</v>
      </c>
    </row>
    <row r="117" spans="1:3" x14ac:dyDescent="0.3">
      <c r="A117" t="s">
        <v>13</v>
      </c>
      <c r="B117">
        <v>2019</v>
      </c>
      <c r="C117">
        <v>78</v>
      </c>
    </row>
    <row r="118" spans="1:3" x14ac:dyDescent="0.3">
      <c r="A118" t="s">
        <v>14</v>
      </c>
      <c r="B118">
        <v>2019</v>
      </c>
    </row>
    <row r="119" spans="1:3" x14ac:dyDescent="0.3">
      <c r="A119" t="s">
        <v>15</v>
      </c>
      <c r="B119">
        <v>2019</v>
      </c>
      <c r="C119">
        <v>-3026</v>
      </c>
    </row>
    <row r="120" spans="1:3" x14ac:dyDescent="0.3">
      <c r="A120" t="s">
        <v>16</v>
      </c>
      <c r="B120">
        <v>2019</v>
      </c>
      <c r="C120">
        <v>-5272</v>
      </c>
    </row>
    <row r="121" spans="1:3" x14ac:dyDescent="0.3">
      <c r="A121" t="s">
        <v>17</v>
      </c>
      <c r="B121">
        <v>2019</v>
      </c>
      <c r="C121">
        <v>-1347</v>
      </c>
    </row>
    <row r="122" spans="1:3" x14ac:dyDescent="0.3">
      <c r="A122" t="s">
        <v>18</v>
      </c>
      <c r="B122">
        <v>2019</v>
      </c>
      <c r="C122">
        <v>-236</v>
      </c>
    </row>
    <row r="123" spans="1:3" x14ac:dyDescent="0.3">
      <c r="A123" t="s">
        <v>19</v>
      </c>
      <c r="B123">
        <v>2019</v>
      </c>
      <c r="C123">
        <v>-9881</v>
      </c>
    </row>
    <row r="124" spans="1:3" x14ac:dyDescent="0.3">
      <c r="A124" t="s">
        <v>20</v>
      </c>
      <c r="B124">
        <v>2019</v>
      </c>
    </row>
    <row r="125" spans="1:3" x14ac:dyDescent="0.3">
      <c r="A125" t="s">
        <v>21</v>
      </c>
      <c r="B125">
        <v>2019</v>
      </c>
      <c r="C125">
        <v>2620</v>
      </c>
    </row>
    <row r="126" spans="1:3" x14ac:dyDescent="0.3">
      <c r="A126" t="s">
        <v>22</v>
      </c>
      <c r="B126">
        <v>2019</v>
      </c>
      <c r="C126">
        <v>0.111</v>
      </c>
    </row>
    <row r="127" spans="1:3" x14ac:dyDescent="0.3">
      <c r="A127" t="s">
        <v>23</v>
      </c>
      <c r="B127">
        <v>2019</v>
      </c>
      <c r="C127">
        <v>32</v>
      </c>
    </row>
    <row r="128" spans="1:3" x14ac:dyDescent="0.3">
      <c r="A128" t="s">
        <v>24</v>
      </c>
      <c r="B128">
        <v>2019</v>
      </c>
      <c r="C128">
        <v>-166</v>
      </c>
    </row>
    <row r="129" spans="1:3" x14ac:dyDescent="0.3">
      <c r="A129" t="s">
        <v>25</v>
      </c>
      <c r="B129">
        <v>2019</v>
      </c>
      <c r="C129">
        <v>2486</v>
      </c>
    </row>
    <row r="130" spans="1:3" x14ac:dyDescent="0.3">
      <c r="A130" t="s">
        <v>26</v>
      </c>
      <c r="B130">
        <v>2019</v>
      </c>
      <c r="C130">
        <v>-622</v>
      </c>
    </row>
    <row r="131" spans="1:3" x14ac:dyDescent="0.3">
      <c r="A131" t="s">
        <v>27</v>
      </c>
      <c r="B131">
        <v>2019</v>
      </c>
      <c r="C131">
        <v>0.25</v>
      </c>
    </row>
    <row r="132" spans="1:3" x14ac:dyDescent="0.3">
      <c r="A132" t="s">
        <v>28</v>
      </c>
      <c r="B132">
        <v>2019</v>
      </c>
      <c r="C132">
        <v>1864</v>
      </c>
    </row>
    <row r="133" spans="1:3" x14ac:dyDescent="0.3">
      <c r="A133" t="s">
        <v>29</v>
      </c>
      <c r="B133">
        <v>2019</v>
      </c>
    </row>
    <row r="134" spans="1:3" x14ac:dyDescent="0.3">
      <c r="A134" t="s">
        <v>30</v>
      </c>
      <c r="B134">
        <v>2019</v>
      </c>
      <c r="C134">
        <v>1864</v>
      </c>
    </row>
    <row r="135" spans="1:3" x14ac:dyDescent="0.3">
      <c r="A135" t="s">
        <v>31</v>
      </c>
      <c r="B135">
        <v>2019</v>
      </c>
      <c r="C135">
        <v>-9</v>
      </c>
    </row>
    <row r="136" spans="1:3" x14ac:dyDescent="0.3">
      <c r="A136" t="s">
        <v>32</v>
      </c>
      <c r="B136">
        <v>2019</v>
      </c>
      <c r="C136">
        <v>1855</v>
      </c>
    </row>
    <row r="137" spans="1:3" x14ac:dyDescent="0.3">
      <c r="A137" t="s">
        <v>33</v>
      </c>
      <c r="B137">
        <v>2019</v>
      </c>
      <c r="C137">
        <v>9.48</v>
      </c>
    </row>
    <row r="138" spans="1:3" x14ac:dyDescent="0.3">
      <c r="A138" t="s">
        <v>34</v>
      </c>
      <c r="B138">
        <v>2019</v>
      </c>
      <c r="C138">
        <v>9.44</v>
      </c>
    </row>
    <row r="139" spans="1:3" x14ac:dyDescent="0.3">
      <c r="A139" t="s">
        <v>35</v>
      </c>
      <c r="B139">
        <v>2019</v>
      </c>
      <c r="C139">
        <v>195.7</v>
      </c>
    </row>
    <row r="140" spans="1:3" x14ac:dyDescent="0.3">
      <c r="A140" t="s">
        <v>36</v>
      </c>
      <c r="B140">
        <v>2019</v>
      </c>
      <c r="C140">
        <v>196.5</v>
      </c>
    </row>
    <row r="141" spans="1:3" x14ac:dyDescent="0.3">
      <c r="A141" t="s">
        <v>37</v>
      </c>
      <c r="B141">
        <v>2019</v>
      </c>
      <c r="C141">
        <v>3.85</v>
      </c>
    </row>
    <row r="142" spans="1:3" x14ac:dyDescent="0.3">
      <c r="A142" t="s">
        <v>3</v>
      </c>
      <c r="B142">
        <v>2020</v>
      </c>
    </row>
    <row r="143" spans="1:3" x14ac:dyDescent="0.3">
      <c r="A143" t="s">
        <v>4</v>
      </c>
      <c r="B143">
        <v>2020</v>
      </c>
      <c r="C143">
        <v>10160</v>
      </c>
    </row>
    <row r="144" spans="1:3" x14ac:dyDescent="0.3">
      <c r="A144" t="s">
        <v>5</v>
      </c>
      <c r="B144">
        <v>2020</v>
      </c>
      <c r="C144">
        <v>8970</v>
      </c>
    </row>
    <row r="145" spans="1:3" x14ac:dyDescent="0.3">
      <c r="A145" t="s">
        <v>6</v>
      </c>
      <c r="B145">
        <v>2020</v>
      </c>
      <c r="C145">
        <v>714</v>
      </c>
    </row>
    <row r="146" spans="1:3" x14ac:dyDescent="0.3">
      <c r="A146" t="s">
        <v>7</v>
      </c>
      <c r="B146">
        <v>2020</v>
      </c>
      <c r="C146">
        <v>19844</v>
      </c>
    </row>
    <row r="147" spans="1:3" x14ac:dyDescent="0.3">
      <c r="A147" t="s">
        <v>8</v>
      </c>
      <c r="B147">
        <v>2020</v>
      </c>
      <c r="C147">
        <v>-0.161</v>
      </c>
    </row>
    <row r="148" spans="1:3" x14ac:dyDescent="0.3">
      <c r="A148" t="s">
        <v>9</v>
      </c>
      <c r="B148">
        <v>2020</v>
      </c>
      <c r="C148">
        <v>-9982</v>
      </c>
    </row>
    <row r="149" spans="1:3" x14ac:dyDescent="0.3">
      <c r="A149" t="s">
        <v>10</v>
      </c>
      <c r="B149">
        <v>2020</v>
      </c>
      <c r="C149">
        <v>9862</v>
      </c>
    </row>
    <row r="150" spans="1:3" x14ac:dyDescent="0.3">
      <c r="A150" t="s">
        <v>11</v>
      </c>
      <c r="B150">
        <v>2020</v>
      </c>
      <c r="C150">
        <v>0.49700000000000011</v>
      </c>
    </row>
    <row r="151" spans="1:3" x14ac:dyDescent="0.3">
      <c r="A151" t="s">
        <v>12</v>
      </c>
      <c r="B151">
        <v>2020</v>
      </c>
      <c r="C151">
        <v>96</v>
      </c>
    </row>
    <row r="152" spans="1:3" x14ac:dyDescent="0.3">
      <c r="A152" t="s">
        <v>13</v>
      </c>
      <c r="B152">
        <v>2020</v>
      </c>
      <c r="C152">
        <v>52</v>
      </c>
    </row>
    <row r="153" spans="1:3" x14ac:dyDescent="0.3">
      <c r="A153" t="s">
        <v>14</v>
      </c>
      <c r="B153">
        <v>2020</v>
      </c>
    </row>
    <row r="154" spans="1:3" x14ac:dyDescent="0.3">
      <c r="A154" t="s">
        <v>15</v>
      </c>
      <c r="B154">
        <v>2020</v>
      </c>
      <c r="C154">
        <v>-2361</v>
      </c>
    </row>
    <row r="155" spans="1:3" x14ac:dyDescent="0.3">
      <c r="A155" t="s">
        <v>16</v>
      </c>
      <c r="B155">
        <v>2020</v>
      </c>
      <c r="C155">
        <v>-5358</v>
      </c>
    </row>
    <row r="156" spans="1:3" x14ac:dyDescent="0.3">
      <c r="A156" t="s">
        <v>17</v>
      </c>
      <c r="B156">
        <v>2020</v>
      </c>
      <c r="C156">
        <v>-1290</v>
      </c>
    </row>
    <row r="157" spans="1:3" x14ac:dyDescent="0.3">
      <c r="A157" t="s">
        <v>18</v>
      </c>
      <c r="B157">
        <v>2020</v>
      </c>
      <c r="C157">
        <v>-198</v>
      </c>
    </row>
    <row r="158" spans="1:3" x14ac:dyDescent="0.3">
      <c r="A158" t="s">
        <v>19</v>
      </c>
      <c r="B158">
        <v>2020</v>
      </c>
      <c r="C158">
        <v>-9207</v>
      </c>
    </row>
    <row r="159" spans="1:3" x14ac:dyDescent="0.3">
      <c r="A159" t="s">
        <v>20</v>
      </c>
      <c r="B159">
        <v>2020</v>
      </c>
    </row>
    <row r="160" spans="1:3" x14ac:dyDescent="0.3">
      <c r="A160" t="s">
        <v>21</v>
      </c>
      <c r="B160">
        <v>2020</v>
      </c>
      <c r="C160">
        <v>803</v>
      </c>
    </row>
    <row r="161" spans="1:3" x14ac:dyDescent="0.3">
      <c r="A161" t="s">
        <v>22</v>
      </c>
      <c r="B161">
        <v>2020</v>
      </c>
      <c r="C161">
        <v>0.04</v>
      </c>
    </row>
    <row r="162" spans="1:3" x14ac:dyDescent="0.3">
      <c r="A162" t="s">
        <v>23</v>
      </c>
      <c r="B162">
        <v>2020</v>
      </c>
      <c r="C162">
        <v>26</v>
      </c>
    </row>
    <row r="163" spans="1:3" x14ac:dyDescent="0.3">
      <c r="A163" t="s">
        <v>24</v>
      </c>
      <c r="B163">
        <v>2020</v>
      </c>
      <c r="C163">
        <v>-178</v>
      </c>
    </row>
    <row r="164" spans="1:3" x14ac:dyDescent="0.3">
      <c r="A164" t="s">
        <v>25</v>
      </c>
      <c r="B164">
        <v>2020</v>
      </c>
      <c r="C164">
        <v>651</v>
      </c>
    </row>
    <row r="165" spans="1:3" x14ac:dyDescent="0.3">
      <c r="A165" t="s">
        <v>26</v>
      </c>
      <c r="B165">
        <v>2020</v>
      </c>
      <c r="C165">
        <v>-228</v>
      </c>
    </row>
    <row r="166" spans="1:3" x14ac:dyDescent="0.3">
      <c r="A166" t="s">
        <v>27</v>
      </c>
      <c r="B166">
        <v>2020</v>
      </c>
      <c r="C166">
        <v>0.35</v>
      </c>
    </row>
    <row r="167" spans="1:3" x14ac:dyDescent="0.3">
      <c r="A167" t="s">
        <v>28</v>
      </c>
      <c r="B167">
        <v>2020</v>
      </c>
      <c r="C167">
        <v>423</v>
      </c>
    </row>
    <row r="168" spans="1:3" x14ac:dyDescent="0.3">
      <c r="A168" t="s">
        <v>29</v>
      </c>
      <c r="B168">
        <v>2020</v>
      </c>
      <c r="C168">
        <v>-70</v>
      </c>
    </row>
    <row r="169" spans="1:3" x14ac:dyDescent="0.3">
      <c r="A169" t="s">
        <v>30</v>
      </c>
      <c r="B169">
        <v>2020</v>
      </c>
      <c r="C169">
        <v>353</v>
      </c>
    </row>
    <row r="170" spans="1:3" x14ac:dyDescent="0.3">
      <c r="A170" t="s">
        <v>31</v>
      </c>
      <c r="B170">
        <v>2020</v>
      </c>
      <c r="C170">
        <v>-6</v>
      </c>
    </row>
    <row r="171" spans="1:3" x14ac:dyDescent="0.3">
      <c r="A171" t="s">
        <v>32</v>
      </c>
      <c r="B171">
        <v>2020</v>
      </c>
      <c r="C171">
        <v>347</v>
      </c>
    </row>
    <row r="172" spans="1:3" x14ac:dyDescent="0.3">
      <c r="A172" t="s">
        <v>33</v>
      </c>
      <c r="B172">
        <v>2020</v>
      </c>
      <c r="C172">
        <v>1.79</v>
      </c>
    </row>
    <row r="173" spans="1:3" x14ac:dyDescent="0.3">
      <c r="A173" t="s">
        <v>34</v>
      </c>
      <c r="B173">
        <v>2020</v>
      </c>
      <c r="C173">
        <v>1.78</v>
      </c>
    </row>
    <row r="174" spans="1:3" x14ac:dyDescent="0.3">
      <c r="A174" t="s">
        <v>35</v>
      </c>
      <c r="B174">
        <v>2020</v>
      </c>
      <c r="C174">
        <v>194.3</v>
      </c>
    </row>
    <row r="175" spans="1:3" x14ac:dyDescent="0.3">
      <c r="A175" t="s">
        <v>36</v>
      </c>
      <c r="B175">
        <v>2020</v>
      </c>
      <c r="C175">
        <v>195.1</v>
      </c>
    </row>
    <row r="176" spans="1:3" x14ac:dyDescent="0.3">
      <c r="A176" t="s">
        <v>37</v>
      </c>
      <c r="B176">
        <v>2020</v>
      </c>
    </row>
    <row r="177" spans="1:3" x14ac:dyDescent="0.3">
      <c r="A177" t="s">
        <v>3</v>
      </c>
      <c r="B177">
        <v>2021</v>
      </c>
    </row>
    <row r="178" spans="1:3" x14ac:dyDescent="0.3">
      <c r="A178" t="s">
        <v>4</v>
      </c>
      <c r="B178">
        <v>2021</v>
      </c>
      <c r="C178">
        <v>11148</v>
      </c>
    </row>
    <row r="179" spans="1:3" x14ac:dyDescent="0.3">
      <c r="A179" t="s">
        <v>5</v>
      </c>
      <c r="B179">
        <v>2021</v>
      </c>
      <c r="C179">
        <v>9428</v>
      </c>
    </row>
    <row r="180" spans="1:3" x14ac:dyDescent="0.3">
      <c r="A180" t="s">
        <v>6</v>
      </c>
      <c r="B180">
        <v>2021</v>
      </c>
      <c r="C180">
        <v>658</v>
      </c>
    </row>
    <row r="181" spans="1:3" x14ac:dyDescent="0.3">
      <c r="A181" t="s">
        <v>7</v>
      </c>
      <c r="B181">
        <v>2021</v>
      </c>
      <c r="C181">
        <v>21234</v>
      </c>
    </row>
    <row r="182" spans="1:3" x14ac:dyDescent="0.3">
      <c r="A182" t="s">
        <v>8</v>
      </c>
      <c r="B182">
        <v>2021</v>
      </c>
      <c r="C182">
        <v>7.0000000000000007E-2</v>
      </c>
    </row>
    <row r="183" spans="1:3" x14ac:dyDescent="0.3">
      <c r="A183" t="s">
        <v>9</v>
      </c>
      <c r="B183">
        <v>2021</v>
      </c>
      <c r="C183">
        <v>-10511</v>
      </c>
    </row>
    <row r="184" spans="1:3" x14ac:dyDescent="0.3">
      <c r="A184" t="s">
        <v>10</v>
      </c>
      <c r="B184">
        <v>2021</v>
      </c>
      <c r="C184">
        <v>10723</v>
      </c>
    </row>
    <row r="185" spans="1:3" x14ac:dyDescent="0.3">
      <c r="A185" t="s">
        <v>11</v>
      </c>
      <c r="B185">
        <v>2021</v>
      </c>
      <c r="C185">
        <v>0.505</v>
      </c>
    </row>
    <row r="186" spans="1:3" x14ac:dyDescent="0.3">
      <c r="A186" t="s">
        <v>12</v>
      </c>
      <c r="B186">
        <v>2021</v>
      </c>
      <c r="C186">
        <v>104</v>
      </c>
    </row>
    <row r="187" spans="1:3" x14ac:dyDescent="0.3">
      <c r="A187" t="s">
        <v>13</v>
      </c>
      <c r="B187">
        <v>2021</v>
      </c>
      <c r="C187">
        <v>58</v>
      </c>
    </row>
    <row r="188" spans="1:3" x14ac:dyDescent="0.3">
      <c r="A188" t="s">
        <v>14</v>
      </c>
      <c r="B188">
        <v>2021</v>
      </c>
    </row>
    <row r="189" spans="1:3" x14ac:dyDescent="0.3">
      <c r="A189" t="s">
        <v>15</v>
      </c>
      <c r="B189">
        <v>2021</v>
      </c>
      <c r="C189">
        <v>-2569</v>
      </c>
    </row>
    <row r="190" spans="1:3" x14ac:dyDescent="0.3">
      <c r="A190" t="s">
        <v>16</v>
      </c>
      <c r="B190">
        <v>2021</v>
      </c>
      <c r="C190">
        <v>-4969</v>
      </c>
    </row>
    <row r="191" spans="1:3" x14ac:dyDescent="0.3">
      <c r="A191" t="s">
        <v>17</v>
      </c>
      <c r="B191">
        <v>2021</v>
      </c>
      <c r="C191">
        <v>-1295</v>
      </c>
    </row>
    <row r="192" spans="1:3" x14ac:dyDescent="0.3">
      <c r="A192" t="s">
        <v>18</v>
      </c>
      <c r="B192">
        <v>2021</v>
      </c>
      <c r="C192">
        <v>-212</v>
      </c>
    </row>
    <row r="193" spans="1:3" x14ac:dyDescent="0.3">
      <c r="A193" t="s">
        <v>19</v>
      </c>
      <c r="B193">
        <v>2021</v>
      </c>
      <c r="C193">
        <v>-9045</v>
      </c>
    </row>
    <row r="194" spans="1:3" x14ac:dyDescent="0.3">
      <c r="A194" t="s">
        <v>20</v>
      </c>
      <c r="B194">
        <v>2021</v>
      </c>
    </row>
    <row r="195" spans="1:3" x14ac:dyDescent="0.3">
      <c r="A195" t="s">
        <v>21</v>
      </c>
      <c r="B195">
        <v>2021</v>
      </c>
      <c r="C195">
        <v>1840</v>
      </c>
    </row>
    <row r="196" spans="1:3" x14ac:dyDescent="0.3">
      <c r="A196" t="s">
        <v>22</v>
      </c>
      <c r="B196">
        <v>2021</v>
      </c>
      <c r="C196">
        <v>8.6999999999999994E-2</v>
      </c>
    </row>
    <row r="197" spans="1:3" x14ac:dyDescent="0.3">
      <c r="A197" t="s">
        <v>23</v>
      </c>
      <c r="B197">
        <v>2021</v>
      </c>
      <c r="C197">
        <v>30</v>
      </c>
    </row>
    <row r="198" spans="1:3" x14ac:dyDescent="0.3">
      <c r="A198" t="s">
        <v>24</v>
      </c>
      <c r="B198">
        <v>2021</v>
      </c>
      <c r="C198">
        <v>-172</v>
      </c>
    </row>
    <row r="199" spans="1:3" x14ac:dyDescent="0.3">
      <c r="A199" t="s">
        <v>25</v>
      </c>
      <c r="B199">
        <v>2021</v>
      </c>
      <c r="C199">
        <v>1698</v>
      </c>
    </row>
    <row r="200" spans="1:3" x14ac:dyDescent="0.3">
      <c r="A200" t="s">
        <v>26</v>
      </c>
      <c r="B200">
        <v>2021</v>
      </c>
      <c r="C200">
        <v>-475</v>
      </c>
    </row>
    <row r="201" spans="1:3" x14ac:dyDescent="0.3">
      <c r="A201" t="s">
        <v>27</v>
      </c>
      <c r="B201">
        <v>2021</v>
      </c>
      <c r="C201">
        <v>0.28000000000000003</v>
      </c>
    </row>
    <row r="202" spans="1:3" x14ac:dyDescent="0.3">
      <c r="A202" t="s">
        <v>28</v>
      </c>
      <c r="B202">
        <v>2021</v>
      </c>
      <c r="C202">
        <v>1223</v>
      </c>
    </row>
    <row r="203" spans="1:3" x14ac:dyDescent="0.3">
      <c r="A203" t="s">
        <v>29</v>
      </c>
      <c r="B203">
        <v>2021</v>
      </c>
      <c r="C203">
        <v>232</v>
      </c>
    </row>
    <row r="204" spans="1:3" x14ac:dyDescent="0.3">
      <c r="A204" t="s">
        <v>30</v>
      </c>
      <c r="B204">
        <v>2021</v>
      </c>
      <c r="C204">
        <v>1455</v>
      </c>
    </row>
    <row r="205" spans="1:3" x14ac:dyDescent="0.3">
      <c r="A205" t="s">
        <v>31</v>
      </c>
      <c r="B205">
        <v>2021</v>
      </c>
      <c r="C205">
        <v>-8</v>
      </c>
    </row>
    <row r="206" spans="1:3" x14ac:dyDescent="0.3">
      <c r="A206" t="s">
        <v>32</v>
      </c>
      <c r="B206">
        <v>2021</v>
      </c>
      <c r="C206">
        <v>1447</v>
      </c>
    </row>
    <row r="207" spans="1:3" x14ac:dyDescent="0.3">
      <c r="A207" t="s">
        <v>33</v>
      </c>
      <c r="B207">
        <v>2021</v>
      </c>
      <c r="C207">
        <v>7.39</v>
      </c>
    </row>
    <row r="208" spans="1:3" x14ac:dyDescent="0.3">
      <c r="A208" t="s">
        <v>34</v>
      </c>
      <c r="B208">
        <v>2021</v>
      </c>
      <c r="C208">
        <v>7.36</v>
      </c>
    </row>
    <row r="209" spans="1:3" x14ac:dyDescent="0.3">
      <c r="A209" t="s">
        <v>35</v>
      </c>
      <c r="B209">
        <v>2021</v>
      </c>
      <c r="C209">
        <v>195.8</v>
      </c>
    </row>
    <row r="210" spans="1:3" x14ac:dyDescent="0.3">
      <c r="A210" t="s">
        <v>36</v>
      </c>
      <c r="B210">
        <v>2021</v>
      </c>
      <c r="C210">
        <v>196.6</v>
      </c>
    </row>
    <row r="211" spans="1:3" x14ac:dyDescent="0.3">
      <c r="A211" t="s">
        <v>37</v>
      </c>
      <c r="B211">
        <v>2021</v>
      </c>
      <c r="C211">
        <v>3.3</v>
      </c>
    </row>
    <row r="212" spans="1:3" x14ac:dyDescent="0.3">
      <c r="A212" t="s">
        <v>3</v>
      </c>
      <c r="B212">
        <v>2022</v>
      </c>
    </row>
    <row r="213" spans="1:3" x14ac:dyDescent="0.3">
      <c r="A213" t="s">
        <v>4</v>
      </c>
      <c r="B213">
        <v>2022</v>
      </c>
      <c r="C213">
        <v>12156</v>
      </c>
    </row>
    <row r="214" spans="1:3" x14ac:dyDescent="0.3">
      <c r="A214" t="s">
        <v>5</v>
      </c>
      <c r="B214">
        <v>2022</v>
      </c>
      <c r="C214">
        <v>9725</v>
      </c>
    </row>
    <row r="215" spans="1:3" x14ac:dyDescent="0.3">
      <c r="A215" t="s">
        <v>6</v>
      </c>
      <c r="B215">
        <v>2022</v>
      </c>
      <c r="C215">
        <v>630</v>
      </c>
    </row>
    <row r="216" spans="1:3" x14ac:dyDescent="0.3">
      <c r="A216" t="s">
        <v>7</v>
      </c>
      <c r="B216">
        <v>2022</v>
      </c>
      <c r="C216">
        <v>22511</v>
      </c>
    </row>
    <row r="217" spans="1:3" x14ac:dyDescent="0.3">
      <c r="A217" t="s">
        <v>8</v>
      </c>
      <c r="B217">
        <v>2022</v>
      </c>
      <c r="C217">
        <v>0.06</v>
      </c>
    </row>
    <row r="218" spans="1:3" x14ac:dyDescent="0.3">
      <c r="A218" t="s">
        <v>9</v>
      </c>
      <c r="B218">
        <v>2022</v>
      </c>
      <c r="C218">
        <v>-11863</v>
      </c>
    </row>
    <row r="219" spans="1:3" x14ac:dyDescent="0.3">
      <c r="A219" t="s">
        <v>10</v>
      </c>
      <c r="B219">
        <v>2022</v>
      </c>
      <c r="C219">
        <v>10648</v>
      </c>
    </row>
    <row r="220" spans="1:3" x14ac:dyDescent="0.3">
      <c r="A220" t="s">
        <v>11</v>
      </c>
      <c r="B220">
        <v>2022</v>
      </c>
      <c r="C220">
        <v>0.47299999999999998</v>
      </c>
    </row>
    <row r="221" spans="1:3" x14ac:dyDescent="0.3">
      <c r="A221" t="s">
        <v>12</v>
      </c>
      <c r="B221">
        <v>2022</v>
      </c>
      <c r="C221">
        <v>112</v>
      </c>
    </row>
    <row r="222" spans="1:3" x14ac:dyDescent="0.3">
      <c r="A222" t="s">
        <v>13</v>
      </c>
      <c r="B222">
        <v>2022</v>
      </c>
      <c r="C222">
        <v>63</v>
      </c>
    </row>
    <row r="223" spans="1:3" x14ac:dyDescent="0.3">
      <c r="A223" t="s">
        <v>14</v>
      </c>
      <c r="B223">
        <v>2022</v>
      </c>
    </row>
    <row r="224" spans="1:3" x14ac:dyDescent="0.3">
      <c r="A224" t="s">
        <v>15</v>
      </c>
      <c r="B224">
        <v>2022</v>
      </c>
      <c r="C224">
        <v>-2791</v>
      </c>
    </row>
    <row r="225" spans="1:3" x14ac:dyDescent="0.3">
      <c r="A225" t="s">
        <v>16</v>
      </c>
      <c r="B225">
        <v>2022</v>
      </c>
      <c r="C225">
        <v>-5470</v>
      </c>
    </row>
    <row r="226" spans="1:3" x14ac:dyDescent="0.3">
      <c r="A226" t="s">
        <v>17</v>
      </c>
      <c r="B226">
        <v>2022</v>
      </c>
      <c r="C226">
        <v>-1756</v>
      </c>
    </row>
    <row r="227" spans="1:3" x14ac:dyDescent="0.3">
      <c r="A227" t="s">
        <v>18</v>
      </c>
      <c r="B227">
        <v>2022</v>
      </c>
      <c r="C227">
        <v>-225</v>
      </c>
    </row>
    <row r="228" spans="1:3" x14ac:dyDescent="0.3">
      <c r="A228" t="s">
        <v>19</v>
      </c>
      <c r="B228">
        <v>2022</v>
      </c>
      <c r="C228">
        <v>-10242</v>
      </c>
    </row>
    <row r="229" spans="1:3" x14ac:dyDescent="0.3">
      <c r="A229" t="s">
        <v>20</v>
      </c>
      <c r="B229">
        <v>2022</v>
      </c>
      <c r="C229">
        <v>-194</v>
      </c>
    </row>
    <row r="230" spans="1:3" x14ac:dyDescent="0.3">
      <c r="A230" t="s">
        <v>21</v>
      </c>
      <c r="B230">
        <v>2022</v>
      </c>
      <c r="C230">
        <v>387</v>
      </c>
    </row>
    <row r="231" spans="1:3" x14ac:dyDescent="0.3">
      <c r="A231" t="s">
        <v>22</v>
      </c>
      <c r="B231">
        <v>2022</v>
      </c>
      <c r="C231">
        <v>1.7000000000000001E-2</v>
      </c>
    </row>
    <row r="232" spans="1:3" x14ac:dyDescent="0.3">
      <c r="A232" t="s">
        <v>23</v>
      </c>
      <c r="B232">
        <v>2022</v>
      </c>
      <c r="C232">
        <v>44</v>
      </c>
    </row>
    <row r="233" spans="1:3" x14ac:dyDescent="0.3">
      <c r="A233" t="s">
        <v>24</v>
      </c>
      <c r="B233">
        <v>2022</v>
      </c>
      <c r="C233">
        <v>-199</v>
      </c>
    </row>
    <row r="234" spans="1:3" x14ac:dyDescent="0.3">
      <c r="A234" t="s">
        <v>25</v>
      </c>
      <c r="B234">
        <v>2022</v>
      </c>
      <c r="C234">
        <v>232</v>
      </c>
    </row>
    <row r="235" spans="1:3" x14ac:dyDescent="0.3">
      <c r="A235" t="s">
        <v>26</v>
      </c>
      <c r="B235">
        <v>2022</v>
      </c>
      <c r="C235">
        <v>-174</v>
      </c>
    </row>
    <row r="236" spans="1:3" x14ac:dyDescent="0.3">
      <c r="A236" t="s">
        <v>27</v>
      </c>
      <c r="B236">
        <v>2022</v>
      </c>
      <c r="C236">
        <v>0.75</v>
      </c>
    </row>
    <row r="237" spans="1:3" x14ac:dyDescent="0.3">
      <c r="A237" t="s">
        <v>28</v>
      </c>
      <c r="B237">
        <v>2022</v>
      </c>
      <c r="C237">
        <v>58</v>
      </c>
    </row>
    <row r="238" spans="1:3" x14ac:dyDescent="0.3">
      <c r="A238" t="s">
        <v>29</v>
      </c>
      <c r="B238">
        <v>2022</v>
      </c>
    </row>
    <row r="239" spans="1:3" x14ac:dyDescent="0.3">
      <c r="A239" t="s">
        <v>30</v>
      </c>
      <c r="B239">
        <v>2022</v>
      </c>
      <c r="C239">
        <v>58</v>
      </c>
    </row>
    <row r="240" spans="1:3" x14ac:dyDescent="0.3">
      <c r="A240" t="s">
        <v>31</v>
      </c>
      <c r="B240">
        <v>2022</v>
      </c>
      <c r="C240">
        <v>-8</v>
      </c>
    </row>
    <row r="241" spans="1:3" x14ac:dyDescent="0.3">
      <c r="A241" t="s">
        <v>32</v>
      </c>
      <c r="B241">
        <v>2022</v>
      </c>
      <c r="C241">
        <v>50</v>
      </c>
    </row>
    <row r="242" spans="1:3" x14ac:dyDescent="0.3">
      <c r="A242" t="s">
        <v>33</v>
      </c>
      <c r="B242">
        <v>2022</v>
      </c>
      <c r="C242">
        <v>0.27</v>
      </c>
    </row>
    <row r="243" spans="1:3" x14ac:dyDescent="0.3">
      <c r="A243" t="s">
        <v>34</v>
      </c>
      <c r="B243">
        <v>2022</v>
      </c>
      <c r="C243">
        <v>0.27</v>
      </c>
    </row>
    <row r="244" spans="1:3" x14ac:dyDescent="0.3">
      <c r="A244" t="s">
        <v>35</v>
      </c>
      <c r="B244">
        <v>2022</v>
      </c>
      <c r="C244">
        <v>183.5</v>
      </c>
    </row>
    <row r="245" spans="1:3" x14ac:dyDescent="0.3">
      <c r="A245" t="s">
        <v>36</v>
      </c>
      <c r="B245">
        <v>2022</v>
      </c>
      <c r="C245">
        <v>184.2</v>
      </c>
    </row>
    <row r="246" spans="1:3" x14ac:dyDescent="0.3">
      <c r="A246" t="s">
        <v>37</v>
      </c>
      <c r="B246">
        <v>2022</v>
      </c>
      <c r="C246">
        <v>0.7</v>
      </c>
    </row>
    <row r="247" spans="1:3" x14ac:dyDescent="0.3">
      <c r="A247" t="s">
        <v>3</v>
      </c>
      <c r="B247">
        <v>2023</v>
      </c>
    </row>
    <row r="248" spans="1:3" x14ac:dyDescent="0.3">
      <c r="A248" t="s">
        <v>4</v>
      </c>
      <c r="B248">
        <v>2023</v>
      </c>
      <c r="C248">
        <v>11142</v>
      </c>
    </row>
    <row r="249" spans="1:3" x14ac:dyDescent="0.3">
      <c r="A249" t="s">
        <v>5</v>
      </c>
      <c r="B249">
        <v>2023</v>
      </c>
      <c r="C249">
        <v>9706</v>
      </c>
    </row>
    <row r="250" spans="1:3" x14ac:dyDescent="0.3">
      <c r="A250" t="s">
        <v>6</v>
      </c>
      <c r="B250">
        <v>2023</v>
      </c>
      <c r="C250">
        <v>579</v>
      </c>
    </row>
    <row r="251" spans="1:3" x14ac:dyDescent="0.3">
      <c r="A251" t="s">
        <v>7</v>
      </c>
      <c r="B251">
        <v>2023</v>
      </c>
      <c r="C251">
        <v>21427</v>
      </c>
    </row>
    <row r="252" spans="1:3" x14ac:dyDescent="0.3">
      <c r="A252" t="s">
        <v>8</v>
      </c>
      <c r="B252">
        <v>2023</v>
      </c>
      <c r="C252">
        <v>-4.8000000000000001E-2</v>
      </c>
    </row>
    <row r="253" spans="1:3" x14ac:dyDescent="0.3">
      <c r="A253" t="s">
        <v>9</v>
      </c>
      <c r="B253">
        <v>2023</v>
      </c>
      <c r="C253">
        <v>-11249</v>
      </c>
    </row>
    <row r="254" spans="1:3" x14ac:dyDescent="0.3">
      <c r="A254" t="s">
        <v>10</v>
      </c>
      <c r="B254">
        <v>2023</v>
      </c>
      <c r="C254">
        <v>10178</v>
      </c>
    </row>
    <row r="255" spans="1:3" x14ac:dyDescent="0.3">
      <c r="A255" t="s">
        <v>11</v>
      </c>
      <c r="B255">
        <v>2023</v>
      </c>
      <c r="C255">
        <v>0.47499999999999998</v>
      </c>
    </row>
    <row r="256" spans="1:3" x14ac:dyDescent="0.3">
      <c r="A256" t="s">
        <v>12</v>
      </c>
      <c r="B256">
        <v>2023</v>
      </c>
      <c r="C256">
        <v>107</v>
      </c>
    </row>
    <row r="257" spans="1:3" x14ac:dyDescent="0.3">
      <c r="A257" t="s">
        <v>13</v>
      </c>
      <c r="B257">
        <v>2023</v>
      </c>
      <c r="C257">
        <v>55</v>
      </c>
    </row>
    <row r="258" spans="1:3" x14ac:dyDescent="0.3">
      <c r="A258" t="s">
        <v>14</v>
      </c>
      <c r="B258">
        <v>2023</v>
      </c>
    </row>
    <row r="259" spans="1:3" x14ac:dyDescent="0.3">
      <c r="A259" t="s">
        <v>15</v>
      </c>
      <c r="B259">
        <v>2023</v>
      </c>
      <c r="C259">
        <v>-2636</v>
      </c>
    </row>
    <row r="260" spans="1:3" x14ac:dyDescent="0.3">
      <c r="A260" t="s">
        <v>16</v>
      </c>
      <c r="B260">
        <v>2023</v>
      </c>
      <c r="C260">
        <v>-5528</v>
      </c>
    </row>
    <row r="261" spans="1:3" x14ac:dyDescent="0.3">
      <c r="A261" t="s">
        <v>17</v>
      </c>
      <c r="B261">
        <v>2023</v>
      </c>
      <c r="C261">
        <v>-1564</v>
      </c>
    </row>
    <row r="262" spans="1:3" x14ac:dyDescent="0.3">
      <c r="A262" t="s">
        <v>18</v>
      </c>
      <c r="B262">
        <v>2023</v>
      </c>
      <c r="C262">
        <v>-257</v>
      </c>
    </row>
    <row r="263" spans="1:3" x14ac:dyDescent="0.3">
      <c r="A263" t="s">
        <v>19</v>
      </c>
      <c r="B263">
        <v>2023</v>
      </c>
      <c r="C263">
        <v>-9985</v>
      </c>
    </row>
    <row r="264" spans="1:3" x14ac:dyDescent="0.3">
      <c r="A264" t="s">
        <v>20</v>
      </c>
      <c r="B264">
        <v>2023</v>
      </c>
    </row>
    <row r="265" spans="1:3" x14ac:dyDescent="0.3">
      <c r="A265" t="s">
        <v>21</v>
      </c>
      <c r="B265">
        <v>2023</v>
      </c>
      <c r="C265">
        <v>355</v>
      </c>
    </row>
    <row r="266" spans="1:3" x14ac:dyDescent="0.3">
      <c r="A266" t="s">
        <v>22</v>
      </c>
      <c r="B266">
        <v>2023</v>
      </c>
      <c r="C266">
        <v>1.7000000000000001E-2</v>
      </c>
    </row>
    <row r="267" spans="1:3" x14ac:dyDescent="0.3">
      <c r="A267" t="s">
        <v>23</v>
      </c>
      <c r="B267">
        <v>2023</v>
      </c>
      <c r="C267">
        <v>62</v>
      </c>
    </row>
    <row r="268" spans="1:3" x14ac:dyDescent="0.3">
      <c r="A268" t="s">
        <v>24</v>
      </c>
      <c r="B268">
        <v>2023</v>
      </c>
      <c r="C268">
        <v>-242</v>
      </c>
    </row>
    <row r="269" spans="1:3" x14ac:dyDescent="0.3">
      <c r="A269" t="s">
        <v>25</v>
      </c>
      <c r="B269">
        <v>2023</v>
      </c>
      <c r="C269">
        <v>175</v>
      </c>
    </row>
    <row r="270" spans="1:3" x14ac:dyDescent="0.3">
      <c r="A270" t="s">
        <v>26</v>
      </c>
      <c r="B270">
        <v>2023</v>
      </c>
      <c r="C270">
        <v>-201</v>
      </c>
    </row>
    <row r="271" spans="1:3" x14ac:dyDescent="0.3">
      <c r="A271" t="s">
        <v>27</v>
      </c>
      <c r="B271">
        <v>2023</v>
      </c>
      <c r="C271">
        <v>1.149</v>
      </c>
    </row>
    <row r="272" spans="1:3" x14ac:dyDescent="0.3">
      <c r="A272" t="s">
        <v>28</v>
      </c>
      <c r="B272">
        <v>2023</v>
      </c>
      <c r="C272">
        <v>-26</v>
      </c>
    </row>
    <row r="273" spans="1:3" x14ac:dyDescent="0.3">
      <c r="A273" t="s">
        <v>29</v>
      </c>
      <c r="B273">
        <v>2023</v>
      </c>
    </row>
    <row r="274" spans="1:3" x14ac:dyDescent="0.3">
      <c r="A274" t="s">
        <v>30</v>
      </c>
      <c r="B274">
        <v>2023</v>
      </c>
      <c r="C274">
        <v>-26</v>
      </c>
    </row>
    <row r="275" spans="1:3" x14ac:dyDescent="0.3">
      <c r="A275" t="s">
        <v>31</v>
      </c>
      <c r="B275">
        <v>2023</v>
      </c>
      <c r="C275">
        <v>-7</v>
      </c>
    </row>
    <row r="276" spans="1:3" x14ac:dyDescent="0.3">
      <c r="A276" t="s">
        <v>32</v>
      </c>
      <c r="B276">
        <v>2023</v>
      </c>
      <c r="C276">
        <v>-33</v>
      </c>
    </row>
    <row r="277" spans="1:3" x14ac:dyDescent="0.3">
      <c r="A277" t="s">
        <v>33</v>
      </c>
      <c r="B277">
        <v>2023</v>
      </c>
      <c r="C277">
        <v>-0.18</v>
      </c>
    </row>
    <row r="278" spans="1:3" x14ac:dyDescent="0.3">
      <c r="A278" t="s">
        <v>34</v>
      </c>
      <c r="B278">
        <v>2023</v>
      </c>
      <c r="C278">
        <v>-0.18</v>
      </c>
    </row>
    <row r="279" spans="1:3" x14ac:dyDescent="0.3">
      <c r="A279" t="s">
        <v>35</v>
      </c>
      <c r="B279">
        <v>2023</v>
      </c>
      <c r="C279">
        <v>178.6</v>
      </c>
    </row>
    <row r="280" spans="1:3" x14ac:dyDescent="0.3">
      <c r="A280" t="s">
        <v>36</v>
      </c>
      <c r="B280">
        <v>2023</v>
      </c>
      <c r="C280">
        <v>179.3</v>
      </c>
    </row>
    <row r="281" spans="1:3" x14ac:dyDescent="0.3">
      <c r="A281" t="s">
        <v>37</v>
      </c>
      <c r="B281">
        <v>2023</v>
      </c>
      <c r="C281">
        <v>0.7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45BC-B5B2-491B-AD8E-E028CE18EA80}">
  <sheetPr>
    <tabColor rgb="FFFF0000"/>
  </sheetPr>
  <dimension ref="A1:C28"/>
  <sheetViews>
    <sheetView workbookViewId="0">
      <selection activeCell="C43" sqref="C43"/>
    </sheetView>
  </sheetViews>
  <sheetFormatPr defaultRowHeight="14.4" x14ac:dyDescent="0.3"/>
  <cols>
    <col min="1" max="1" width="31.33203125" customWidth="1"/>
    <col min="2" max="2" width="37.5546875" customWidth="1"/>
    <col min="3" max="3" width="23" customWidth="1"/>
  </cols>
  <sheetData>
    <row r="1" spans="1:3" x14ac:dyDescent="0.3">
      <c r="A1" s="38" t="s">
        <v>351</v>
      </c>
      <c r="B1" s="38" t="s">
        <v>38</v>
      </c>
      <c r="C1" s="38" t="s">
        <v>39</v>
      </c>
    </row>
    <row r="2" spans="1:3" x14ac:dyDescent="0.3">
      <c r="A2" s="39" t="s">
        <v>150</v>
      </c>
      <c r="B2" s="39" t="s">
        <v>40</v>
      </c>
      <c r="C2" s="39" t="s">
        <v>41</v>
      </c>
    </row>
    <row r="3" spans="1:3" x14ac:dyDescent="0.3">
      <c r="A3" s="39" t="s">
        <v>151</v>
      </c>
      <c r="B3" s="39" t="s">
        <v>40</v>
      </c>
      <c r="C3" s="39" t="s">
        <v>41</v>
      </c>
    </row>
    <row r="4" spans="1:3" x14ac:dyDescent="0.3">
      <c r="A4" s="39" t="s">
        <v>152</v>
      </c>
      <c r="B4" s="39" t="s">
        <v>40</v>
      </c>
      <c r="C4" s="39" t="s">
        <v>41</v>
      </c>
    </row>
    <row r="5" spans="1:3" x14ac:dyDescent="0.3">
      <c r="A5" s="39" t="s">
        <v>170</v>
      </c>
      <c r="B5" s="39" t="s">
        <v>40</v>
      </c>
      <c r="C5" s="39" t="s">
        <v>41</v>
      </c>
    </row>
    <row r="6" spans="1:3" x14ac:dyDescent="0.3">
      <c r="A6" s="39" t="s">
        <v>317</v>
      </c>
      <c r="B6" s="39" t="s">
        <v>352</v>
      </c>
      <c r="C6" s="39" t="s">
        <v>42</v>
      </c>
    </row>
    <row r="7" spans="1:3" x14ac:dyDescent="0.3">
      <c r="A7" s="39" t="s">
        <v>84</v>
      </c>
      <c r="B7" s="39" t="s">
        <v>353</v>
      </c>
      <c r="C7" s="39" t="s">
        <v>41</v>
      </c>
    </row>
    <row r="8" spans="1:3" x14ac:dyDescent="0.3">
      <c r="A8" s="39" t="s">
        <v>319</v>
      </c>
      <c r="B8" s="39" t="s">
        <v>354</v>
      </c>
      <c r="C8" s="39" t="s">
        <v>41</v>
      </c>
    </row>
    <row r="9" spans="1:3" x14ac:dyDescent="0.3">
      <c r="A9" s="39" t="s">
        <v>43</v>
      </c>
      <c r="B9" s="39" t="s">
        <v>354</v>
      </c>
      <c r="C9" s="39" t="s">
        <v>41</v>
      </c>
    </row>
    <row r="10" spans="1:3" x14ac:dyDescent="0.3">
      <c r="A10" s="39" t="s">
        <v>320</v>
      </c>
      <c r="B10" s="39" t="s">
        <v>355</v>
      </c>
      <c r="C10" s="39" t="s">
        <v>42</v>
      </c>
    </row>
    <row r="11" spans="1:3" x14ac:dyDescent="0.3">
      <c r="A11" s="39" t="s">
        <v>321</v>
      </c>
      <c r="B11" s="39" t="s">
        <v>355</v>
      </c>
      <c r="C11" s="39" t="s">
        <v>42</v>
      </c>
    </row>
    <row r="12" spans="1:3" x14ac:dyDescent="0.3">
      <c r="A12" s="39" t="s">
        <v>119</v>
      </c>
      <c r="B12" s="39" t="s">
        <v>355</v>
      </c>
      <c r="C12" s="39" t="s">
        <v>42</v>
      </c>
    </row>
    <row r="13" spans="1:3" x14ac:dyDescent="0.3">
      <c r="A13" s="39" t="s">
        <v>120</v>
      </c>
      <c r="B13" s="39" t="s">
        <v>355</v>
      </c>
      <c r="C13" s="39" t="s">
        <v>42</v>
      </c>
    </row>
    <row r="14" spans="1:3" x14ac:dyDescent="0.3">
      <c r="A14" s="39" t="s">
        <v>322</v>
      </c>
      <c r="B14" s="39" t="s">
        <v>353</v>
      </c>
      <c r="C14" s="39" t="s">
        <v>42</v>
      </c>
    </row>
    <row r="15" spans="1:3" x14ac:dyDescent="0.3">
      <c r="A15" s="39" t="s">
        <v>323</v>
      </c>
      <c r="B15" s="39" t="s">
        <v>355</v>
      </c>
      <c r="C15" s="39" t="s">
        <v>42</v>
      </c>
    </row>
    <row r="16" spans="1:3" x14ac:dyDescent="0.3">
      <c r="A16" s="39" t="s">
        <v>95</v>
      </c>
      <c r="B16" s="39" t="s">
        <v>353</v>
      </c>
      <c r="C16" s="39" t="s">
        <v>41</v>
      </c>
    </row>
    <row r="17" spans="1:3" x14ac:dyDescent="0.3">
      <c r="A17" s="39" t="s">
        <v>325</v>
      </c>
      <c r="B17" s="39" t="s">
        <v>44</v>
      </c>
      <c r="C17" s="39" t="s">
        <v>41</v>
      </c>
    </row>
    <row r="18" spans="1:3" x14ac:dyDescent="0.3">
      <c r="A18" s="39" t="s">
        <v>326</v>
      </c>
      <c r="B18" s="39" t="s">
        <v>44</v>
      </c>
      <c r="C18" s="39" t="s">
        <v>42</v>
      </c>
    </row>
    <row r="19" spans="1:3" x14ac:dyDescent="0.3">
      <c r="A19" s="39" t="s">
        <v>327</v>
      </c>
      <c r="B19" s="39" t="s">
        <v>353</v>
      </c>
      <c r="C19" s="39" t="s">
        <v>41</v>
      </c>
    </row>
    <row r="20" spans="1:3" x14ac:dyDescent="0.3">
      <c r="A20" s="39" t="s">
        <v>328</v>
      </c>
      <c r="B20" s="39" t="s">
        <v>45</v>
      </c>
      <c r="C20" s="39" t="s">
        <v>42</v>
      </c>
    </row>
    <row r="21" spans="1:3" x14ac:dyDescent="0.3">
      <c r="A21" s="39" t="s">
        <v>330</v>
      </c>
      <c r="B21" s="39" t="s">
        <v>353</v>
      </c>
      <c r="C21" s="39" t="s">
        <v>41</v>
      </c>
    </row>
    <row r="22" spans="1:3" x14ac:dyDescent="0.3">
      <c r="A22" s="39" t="s">
        <v>356</v>
      </c>
      <c r="B22" s="39" t="s">
        <v>353</v>
      </c>
      <c r="C22" s="39" t="s">
        <v>41</v>
      </c>
    </row>
    <row r="23" spans="1:3" x14ac:dyDescent="0.3">
      <c r="A23" s="39" t="s">
        <v>82</v>
      </c>
      <c r="B23" s="39" t="s">
        <v>353</v>
      </c>
      <c r="C23" s="39" t="s">
        <v>41</v>
      </c>
    </row>
    <row r="24" spans="1:3" x14ac:dyDescent="0.3">
      <c r="A24" s="39" t="s">
        <v>331</v>
      </c>
      <c r="B24" s="39" t="s">
        <v>353</v>
      </c>
      <c r="C24" s="39" t="s">
        <v>42</v>
      </c>
    </row>
    <row r="25" spans="1:3" x14ac:dyDescent="0.3">
      <c r="A25" s="39" t="s">
        <v>332</v>
      </c>
      <c r="B25" s="39" t="s">
        <v>353</v>
      </c>
      <c r="C25" s="39" t="s">
        <v>41</v>
      </c>
    </row>
    <row r="26" spans="1:3" x14ac:dyDescent="0.3">
      <c r="A26" s="39" t="s">
        <v>96</v>
      </c>
      <c r="B26" s="39" t="s">
        <v>357</v>
      </c>
      <c r="C26" s="39" t="s">
        <v>41</v>
      </c>
    </row>
    <row r="27" spans="1:3" x14ac:dyDescent="0.3">
      <c r="A27" s="39" t="s">
        <v>333</v>
      </c>
      <c r="B27" s="39" t="s">
        <v>357</v>
      </c>
      <c r="C27" s="39" t="s">
        <v>41</v>
      </c>
    </row>
    <row r="28" spans="1:3" x14ac:dyDescent="0.3">
      <c r="A28" s="39" t="s">
        <v>358</v>
      </c>
      <c r="B28" s="39" t="s">
        <v>357</v>
      </c>
      <c r="C28" s="39"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58C0-E648-4799-9761-1BC1AD20CE73}">
  <sheetPr>
    <tabColor rgb="FFFF0000"/>
  </sheetPr>
  <dimension ref="A1:I40"/>
  <sheetViews>
    <sheetView workbookViewId="0">
      <selection activeCell="B6" sqref="B6"/>
    </sheetView>
  </sheetViews>
  <sheetFormatPr defaultRowHeight="14.4" x14ac:dyDescent="0.3"/>
  <cols>
    <col min="1" max="1" width="29.88671875" bestFit="1" customWidth="1"/>
    <col min="2" max="2" width="26.88671875" customWidth="1"/>
    <col min="3" max="3" width="20.77734375" customWidth="1"/>
    <col min="4" max="4" width="22" customWidth="1"/>
    <col min="5" max="5" width="21.109375" customWidth="1"/>
    <col min="6" max="6" width="20.77734375" customWidth="1"/>
    <col min="7" max="7" width="15.77734375" customWidth="1"/>
    <col min="8" max="8" width="29.77734375" customWidth="1"/>
    <col min="9" max="9" width="29.88671875" customWidth="1"/>
  </cols>
  <sheetData>
    <row r="1" spans="1:9" ht="15" thickBot="1" x14ac:dyDescent="0.35">
      <c r="A1" s="2" t="s">
        <v>0</v>
      </c>
      <c r="B1" s="3" t="s">
        <v>46</v>
      </c>
      <c r="C1" s="3" t="s">
        <v>47</v>
      </c>
      <c r="D1" s="3" t="s">
        <v>48</v>
      </c>
      <c r="E1" s="3" t="s">
        <v>49</v>
      </c>
      <c r="F1" s="3" t="s">
        <v>50</v>
      </c>
      <c r="G1" s="3" t="s">
        <v>51</v>
      </c>
      <c r="H1" s="3" t="s">
        <v>52</v>
      </c>
      <c r="I1" s="3" t="s">
        <v>53</v>
      </c>
    </row>
    <row r="2" spans="1:9" ht="15.6" thickTop="1" thickBot="1" x14ac:dyDescent="0.35">
      <c r="A2" s="4" t="s">
        <v>3</v>
      </c>
      <c r="B2" s="5"/>
      <c r="C2" s="5"/>
      <c r="D2" s="5"/>
      <c r="E2" s="5"/>
      <c r="F2" s="5"/>
      <c r="G2" s="5"/>
      <c r="H2" s="5"/>
      <c r="I2" s="5"/>
    </row>
    <row r="3" spans="1:9" ht="15.6" thickTop="1" thickBot="1" x14ac:dyDescent="0.35">
      <c r="A3" s="6" t="s">
        <v>4</v>
      </c>
      <c r="B3" s="5" cm="1">
        <f t="array" ref="B3">IF($A3="","",_xlfn.XLOOKUP(1,(Table1[Line Item]=$A3)*(Table1[Fiscal Year]=VALUE(RIGHT(B$1,4))),Table1[Value],"Not found"))</f>
        <v>11663</v>
      </c>
      <c r="C3" s="5" cm="1">
        <f t="array" ref="C3">IF($A3="","",_xlfn.XLOOKUP(1,(Table1[Line Item]=$A3)*(Table1[Fiscal Year]=VALUE(RIGHT(C$1,4))),Table1[Value],"Not found"))</f>
        <v>12943</v>
      </c>
      <c r="D3" s="5" cm="1">
        <f t="array" ref="D3">IF($A3="","",_xlfn.XLOOKUP(1,(Table1[Line Item]=$A3)*(Table1[Fiscal Year]=VALUE(RIGHT(D$1,4))),Table1[Value],"Not found"))</f>
        <v>12733</v>
      </c>
      <c r="E3" s="5" cm="1">
        <f t="array" ref="E3">IF($A3="","",_xlfn.XLOOKUP(1,(Table1[Line Item]=$A3)*(Table1[Fiscal Year]=VALUE(RIGHT(E$1,4))),Table1[Value],"Not found"))</f>
        <v>13191</v>
      </c>
      <c r="F3" s="5" cm="1">
        <f t="array" ref="F3">IF($A3="","",_xlfn.XLOOKUP(1,(Table1[Line Item]=$A3)*(Table1[Fiscal Year]=VALUE(RIGHT(F$1,4))),Table1[Value],"Not found"))</f>
        <v>10160</v>
      </c>
      <c r="G3" s="5" cm="1">
        <f t="array" ref="G3">IF($A3="","",_xlfn.XLOOKUP(1,(Table1[Line Item]=$A3)*(Table1[Fiscal Year]=VALUE(RIGHT(G$1,4))),Table1[Value],"Not found"))</f>
        <v>11148</v>
      </c>
      <c r="H3" s="5" cm="1">
        <f t="array" ref="H3">IF($A3="","",_xlfn.XLOOKUP(1,(Table1[Line Item]=$A3)*(Table1[Fiscal Year]=VALUE(RIGHT(H$1,4))),Table1[Value],"Not found"))</f>
        <v>12156</v>
      </c>
      <c r="I3" s="5" cm="1">
        <f t="array" ref="I3">IF($A3="","",_xlfn.XLOOKUP(1,(Table1[Line Item]=$A3)*(Table1[Fiscal Year]=VALUE(RIGHT(I$1,4))),Table1[Value],"Not found"))</f>
        <v>11142</v>
      </c>
    </row>
    <row r="4" spans="1:9" ht="15.6" thickTop="1" thickBot="1" x14ac:dyDescent="0.35">
      <c r="A4" s="7" t="s">
        <v>5</v>
      </c>
      <c r="B4" s="5" cm="1">
        <f t="array" ref="B4">IF($A4="","",_xlfn.XLOOKUP(1,(Table1[Line Item]=$A4)*(Table1[Fiscal Year]=VALUE(RIGHT(B$1,4))),Table1[Value],"Not found"))</f>
        <v>5841</v>
      </c>
      <c r="C4" s="5" cm="1">
        <f t="array" ref="C4">IF($A4="","",_xlfn.XLOOKUP(1,(Table1[Line Item]=$A4)*(Table1[Fiscal Year]=VALUE(RIGHT(C$1,4))),Table1[Value],"Not found"))</f>
        <v>7172</v>
      </c>
      <c r="D4" s="5" cm="1">
        <f t="array" ref="D4">IF($A4="","",_xlfn.XLOOKUP(1,(Table1[Line Item]=$A4)*(Table1[Fiscal Year]=VALUE(RIGHT(D$1,4))),Table1[Value],"Not found"))</f>
        <v>8196</v>
      </c>
      <c r="E4" s="5" cm="1">
        <f t="array" ref="E4">IF($A4="","",_xlfn.XLOOKUP(1,(Table1[Line Item]=$A4)*(Table1[Fiscal Year]=VALUE(RIGHT(E$1,4))),Table1[Value],"Not found"))</f>
        <v>9480</v>
      </c>
      <c r="F4" s="5" cm="1">
        <f t="array" ref="F4">IF($A4="","",_xlfn.XLOOKUP(1,(Table1[Line Item]=$A4)*(Table1[Fiscal Year]=VALUE(RIGHT(F$1,4))),Table1[Value],"Not found"))</f>
        <v>8970</v>
      </c>
      <c r="G4" s="5" cm="1">
        <f t="array" ref="G4">IF($A4="","",_xlfn.XLOOKUP(1,(Table1[Line Item]=$A4)*(Table1[Fiscal Year]=VALUE(RIGHT(G$1,4))),Table1[Value],"Not found"))</f>
        <v>9428</v>
      </c>
      <c r="H4" s="5" cm="1">
        <f t="array" ref="H4">IF($A4="","",_xlfn.XLOOKUP(1,(Table1[Line Item]=$A4)*(Table1[Fiscal Year]=VALUE(RIGHT(H$1,4))),Table1[Value],"Not found"))</f>
        <v>9725</v>
      </c>
      <c r="I4" s="5" cm="1">
        <f t="array" ref="I4">IF($A4="","",_xlfn.XLOOKUP(1,(Table1[Line Item]=$A4)*(Table1[Fiscal Year]=VALUE(RIGHT(I$1,4))),Table1[Value],"Not found"))</f>
        <v>9706</v>
      </c>
    </row>
    <row r="5" spans="1:9" ht="15.6" thickTop="1" thickBot="1" x14ac:dyDescent="0.35">
      <c r="A5" s="6" t="s">
        <v>6</v>
      </c>
      <c r="B5" s="5" cm="1">
        <f t="array" ref="B5">IF($A5="","",_xlfn.XLOOKUP(1,(Table1[Line Item]=$A5)*(Table1[Fiscal Year]=VALUE(RIGHT(B$1,4))),Table1[Value],"Not found"))</f>
        <v>979</v>
      </c>
      <c r="C5" s="5" cm="1">
        <f t="array" ref="C5">IF($A5="","",_xlfn.XLOOKUP(1,(Table1[Line Item]=$A5)*(Table1[Fiscal Year]=VALUE(RIGHT(C$1,4))),Table1[Value],"Not found"))</f>
        <v>1103</v>
      </c>
      <c r="D5" s="5" cm="1">
        <f t="array" ref="D5">IF($A5="","",_xlfn.XLOOKUP(1,(Table1[Line Item]=$A5)*(Table1[Fiscal Year]=VALUE(RIGHT(D$1,4))),Table1[Value],"Not found"))</f>
        <v>986</v>
      </c>
      <c r="E5" s="5" cm="1">
        <f t="array" ref="E5">IF($A5="","",_xlfn.XLOOKUP(1,(Table1[Line Item]=$A5)*(Table1[Fiscal Year]=VALUE(RIGHT(E$1,4))),Table1[Value],"Not found"))</f>
        <v>969</v>
      </c>
      <c r="F5" s="5" cm="1">
        <f t="array" ref="F5">IF($A5="","",_xlfn.XLOOKUP(1,(Table1[Line Item]=$A5)*(Table1[Fiscal Year]=VALUE(RIGHT(F$1,4))),Table1[Value],"Not found"))</f>
        <v>714</v>
      </c>
      <c r="G5" s="5" cm="1">
        <f t="array" ref="G5">IF($A5="","",_xlfn.XLOOKUP(1,(Table1[Line Item]=$A5)*(Table1[Fiscal Year]=VALUE(RIGHT(G$1,4))),Table1[Value],"Not found"))</f>
        <v>658</v>
      </c>
      <c r="H5" s="5" cm="1">
        <f t="array" ref="H5">IF($A5="","",_xlfn.XLOOKUP(1,(Table1[Line Item]=$A5)*(Table1[Fiscal Year]=VALUE(RIGHT(H$1,4))),Table1[Value],"Not found"))</f>
        <v>630</v>
      </c>
      <c r="I5" s="5" cm="1">
        <f t="array" ref="I5">IF($A5="","",_xlfn.XLOOKUP(1,(Table1[Line Item]=$A5)*(Table1[Fiscal Year]=VALUE(RIGHT(I$1,4))),Table1[Value],"Not found"))</f>
        <v>579</v>
      </c>
    </row>
    <row r="6" spans="1:9" ht="15.6" thickTop="1" thickBot="1" x14ac:dyDescent="0.35">
      <c r="A6" s="7" t="s">
        <v>7</v>
      </c>
      <c r="B6" s="5" cm="1">
        <f t="array" ref="B6">IF($A6="","",_xlfn.XLOOKUP(1,(Table1[Line Item]=$A6)*(Table1[Fiscal Year]=VALUE(RIGHT(B$1,4))),Table1[Value],"Not found"))</f>
        <v>18483</v>
      </c>
      <c r="C6" s="5" cm="1">
        <f t="array" ref="C6">IF($A6="","",_xlfn.XLOOKUP(1,(Table1[Line Item]=$A6)*(Table1[Fiscal Year]=VALUE(RIGHT(C$1,4))),Table1[Value],"Not found"))</f>
        <v>21218</v>
      </c>
      <c r="D6" s="5" cm="1">
        <f t="array" ref="D6">IF($A6="","",_xlfn.XLOOKUP(1,(Table1[Line Item]=$A6)*(Table1[Fiscal Year]=VALUE(RIGHT(D$1,4))),Table1[Value],"Not found"))</f>
        <v>21915</v>
      </c>
      <c r="E6" s="5" cm="1">
        <f t="array" ref="E6">IF($A6="","",_xlfn.XLOOKUP(1,(Table1[Line Item]=$A6)*(Table1[Fiscal Year]=VALUE(RIGHT(E$1,4))),Table1[Value],"Not found"))</f>
        <v>23640</v>
      </c>
      <c r="F6" s="5" cm="1">
        <f t="array" ref="F6">IF($A6="","",_xlfn.XLOOKUP(1,(Table1[Line Item]=$A6)*(Table1[Fiscal Year]=VALUE(RIGHT(F$1,4))),Table1[Value],"Not found"))</f>
        <v>19844</v>
      </c>
      <c r="G6" s="5" cm="1">
        <f t="array" ref="G6">IF($A6="","",_xlfn.XLOOKUP(1,(Table1[Line Item]=$A6)*(Table1[Fiscal Year]=VALUE(RIGHT(G$1,4))),Table1[Value],"Not found"))</f>
        <v>21234</v>
      </c>
      <c r="H6" s="5" cm="1">
        <f t="array" ref="H6">IF($A6="","",_xlfn.XLOOKUP(1,(Table1[Line Item]=$A6)*(Table1[Fiscal Year]=VALUE(RIGHT(H$1,4))),Table1[Value],"Not found"))</f>
        <v>22511</v>
      </c>
      <c r="I6" s="5" cm="1">
        <f t="array" ref="I6">IF($A6="","",_xlfn.XLOOKUP(1,(Table1[Line Item]=$A6)*(Table1[Fiscal Year]=VALUE(RIGHT(I$1,4))),Table1[Value],"Not found"))</f>
        <v>21427</v>
      </c>
    </row>
    <row r="7" spans="1:9" ht="15.6" thickTop="1" thickBot="1" x14ac:dyDescent="0.35">
      <c r="A7" s="6" t="s">
        <v>8</v>
      </c>
      <c r="B7" s="5" cm="1">
        <f t="array" ref="B7">IF($A7="","",_xlfn.XLOOKUP(1,(Table1[Line Item]=$A7)*(Table1[Fiscal Year]=VALUE(RIGHT(B$1,4))),Table1[Value],"Not found"))</f>
        <v>0</v>
      </c>
      <c r="C7" s="5" cm="1">
        <f t="array" ref="C7">IF($A7="","",_xlfn.XLOOKUP(1,(Table1[Line Item]=$A7)*(Table1[Fiscal Year]=VALUE(RIGHT(C$1,4))),Table1[Value],"Not found"))</f>
        <v>0.14799999999999999</v>
      </c>
      <c r="D7" s="5" cm="1">
        <f t="array" ref="D7">IF($A7="","",_xlfn.XLOOKUP(1,(Table1[Line Item]=$A7)*(Table1[Fiscal Year]=VALUE(RIGHT(D$1,4))),Table1[Value],"Not found"))</f>
        <v>3.3000000000000002E-2</v>
      </c>
      <c r="E7" s="5" cm="1">
        <f t="array" ref="E7">IF($A7="","",_xlfn.XLOOKUP(1,(Table1[Line Item]=$A7)*(Table1[Fiscal Year]=VALUE(RIGHT(E$1,4))),Table1[Value],"Not found"))</f>
        <v>7.9000000000000001E-2</v>
      </c>
      <c r="F7" s="5" cm="1">
        <f t="array" ref="F7">IF($A7="","",_xlfn.XLOOKUP(1,(Table1[Line Item]=$A7)*(Table1[Fiscal Year]=VALUE(RIGHT(F$1,4))),Table1[Value],"Not found"))</f>
        <v>-0.161</v>
      </c>
      <c r="G7" s="5" cm="1">
        <f t="array" ref="G7">IF($A7="","",_xlfn.XLOOKUP(1,(Table1[Line Item]=$A7)*(Table1[Fiscal Year]=VALUE(RIGHT(G$1,4))),Table1[Value],"Not found"))</f>
        <v>7.0000000000000007E-2</v>
      </c>
      <c r="H7" s="5" cm="1">
        <f t="array" ref="H7">IF($A7="","",_xlfn.XLOOKUP(1,(Table1[Line Item]=$A7)*(Table1[Fiscal Year]=VALUE(RIGHT(H$1,4))),Table1[Value],"Not found"))</f>
        <v>0.06</v>
      </c>
      <c r="I7" s="5" cm="1">
        <f t="array" ref="I7">IF($A7="","",_xlfn.XLOOKUP(1,(Table1[Line Item]=$A7)*(Table1[Fiscal Year]=VALUE(RIGHT(I$1,4))),Table1[Value],"Not found"))</f>
        <v>-4.8000000000000001E-2</v>
      </c>
    </row>
    <row r="8" spans="1:9" ht="15.6" thickTop="1" thickBot="1" x14ac:dyDescent="0.35">
      <c r="A8" s="7" t="s">
        <v>54</v>
      </c>
      <c r="B8" s="5" t="str" cm="1">
        <f t="array" ref="B8">IF($A8="","",_xlfn.XLOOKUP(1,(Table1[Line Item]=$A8)*(Table1[Fiscal Year]=VALUE(RIGHT(B$1,4))),Table1[Value],"Not found"))</f>
        <v/>
      </c>
      <c r="C8" s="5" t="str" cm="1">
        <f t="array" ref="C8">IF($A8="","",_xlfn.XLOOKUP(1,(Table1[Line Item]=$A8)*(Table1[Fiscal Year]=VALUE(RIGHT(C$1,4))),Table1[Value],"Not found"))</f>
        <v/>
      </c>
      <c r="D8" s="5" t="str" cm="1">
        <f t="array" ref="D8">IF($A8="","",_xlfn.XLOOKUP(1,(Table1[Line Item]=$A8)*(Table1[Fiscal Year]=VALUE(RIGHT(D$1,4))),Table1[Value],"Not found"))</f>
        <v/>
      </c>
      <c r="E8" s="5" t="str" cm="1">
        <f t="array" ref="E8">IF($A8="","",_xlfn.XLOOKUP(1,(Table1[Line Item]=$A8)*(Table1[Fiscal Year]=VALUE(RIGHT(E$1,4))),Table1[Value],"Not found"))</f>
        <v/>
      </c>
      <c r="F8" s="5" t="str" cm="1">
        <f t="array" ref="F8">IF($A8="","",_xlfn.XLOOKUP(1,(Table1[Line Item]=$A8)*(Table1[Fiscal Year]=VALUE(RIGHT(F$1,4))),Table1[Value],"Not found"))</f>
        <v/>
      </c>
      <c r="G8" s="5" t="str" cm="1">
        <f t="array" ref="G8">IF($A8="","",_xlfn.XLOOKUP(1,(Table1[Line Item]=$A8)*(Table1[Fiscal Year]=VALUE(RIGHT(G$1,4))),Table1[Value],"Not found"))</f>
        <v/>
      </c>
      <c r="H8" s="5" t="str" cm="1">
        <f t="array" ref="H8">IF($A8="","",_xlfn.XLOOKUP(1,(Table1[Line Item]=$A8)*(Table1[Fiscal Year]=VALUE(RIGHT(H$1,4))),Table1[Value],"Not found"))</f>
        <v/>
      </c>
      <c r="I8" s="5" t="str" cm="1">
        <f t="array" ref="I8">IF($A8="","",_xlfn.XLOOKUP(1,(Table1[Line Item]=$A8)*(Table1[Fiscal Year]=VALUE(RIGHT(I$1,4))),Table1[Value],"Not found"))</f>
        <v/>
      </c>
    </row>
    <row r="9" spans="1:9" ht="15.6" thickTop="1" thickBot="1" x14ac:dyDescent="0.35">
      <c r="A9" s="6" t="s">
        <v>9</v>
      </c>
      <c r="B9" s="5" cm="1">
        <f t="array" ref="B9">IF($A9="","",_xlfn.XLOOKUP(1,(Table1[Line Item]=$A9)*(Table1[Fiscal Year]=VALUE(RIGHT(B$1,4))),Table1[Value],"Not found"))</f>
        <v>-9500</v>
      </c>
      <c r="C9" s="5" cm="1">
        <f t="array" ref="C9">IF($A9="","",_xlfn.XLOOKUP(1,(Table1[Line Item]=$A9)*(Table1[Fiscal Year]=VALUE(RIGHT(C$1,4))),Table1[Value],"Not found"))</f>
        <v>-10524</v>
      </c>
      <c r="D9" s="5" cm="1">
        <f t="array" ref="D9">IF($A9="","",_xlfn.XLOOKUP(1,(Table1[Line Item]=$A9)*(Table1[Fiscal Year]=VALUE(RIGHT(D$1,4))),Table1[Value],"Not found"))</f>
        <v>-10607</v>
      </c>
      <c r="E9" s="5" cm="1">
        <f t="array" ref="E9">IF($A9="","",_xlfn.XLOOKUP(1,(Table1[Line Item]=$A9)*(Table1[Fiscal Year]=VALUE(RIGHT(E$1,4))),Table1[Value],"Not found"))</f>
        <v>-11347</v>
      </c>
      <c r="F9" s="5" cm="1">
        <f t="array" ref="F9">IF($A9="","",_xlfn.XLOOKUP(1,(Table1[Line Item]=$A9)*(Table1[Fiscal Year]=VALUE(RIGHT(F$1,4))),Table1[Value],"Not found"))</f>
        <v>-9982</v>
      </c>
      <c r="G9" s="5" cm="1">
        <f t="array" ref="G9">IF($A9="","",_xlfn.XLOOKUP(1,(Table1[Line Item]=$A9)*(Table1[Fiscal Year]=VALUE(RIGHT(G$1,4))),Table1[Value],"Not found"))</f>
        <v>-10511</v>
      </c>
      <c r="H9" s="5" cm="1">
        <f t="array" ref="H9">IF($A9="","",_xlfn.XLOOKUP(1,(Table1[Line Item]=$A9)*(Table1[Fiscal Year]=VALUE(RIGHT(H$1,4))),Table1[Value],"Not found"))</f>
        <v>-11863</v>
      </c>
      <c r="I9" s="5" cm="1">
        <f t="array" ref="I9">IF($A9="","",_xlfn.XLOOKUP(1,(Table1[Line Item]=$A9)*(Table1[Fiscal Year]=VALUE(RIGHT(I$1,4))),Table1[Value],"Not found"))</f>
        <v>-11249</v>
      </c>
    </row>
    <row r="10" spans="1:9" ht="15.6" thickTop="1" thickBot="1" x14ac:dyDescent="0.35">
      <c r="A10" s="7" t="s">
        <v>10</v>
      </c>
      <c r="B10" s="5" cm="1">
        <f t="array" ref="B10">IF($A10="","",_xlfn.XLOOKUP(1,(Table1[Line Item]=$A10)*(Table1[Fiscal Year]=VALUE(RIGHT(B$1,4))),Table1[Value],"Not found"))</f>
        <v>8983</v>
      </c>
      <c r="C10" s="5" cm="1">
        <f t="array" ref="C10">IF($A10="","",_xlfn.XLOOKUP(1,(Table1[Line Item]=$A10)*(Table1[Fiscal Year]=VALUE(RIGHT(C$1,4))),Table1[Value],"Not found"))</f>
        <v>10694</v>
      </c>
      <c r="D10" s="5" cm="1">
        <f t="array" ref="D10">IF($A10="","",_xlfn.XLOOKUP(1,(Table1[Line Item]=$A10)*(Table1[Fiscal Year]=VALUE(RIGHT(D$1,4))),Table1[Value],"Not found"))</f>
        <v>11308</v>
      </c>
      <c r="E10" s="5" cm="1">
        <f t="array" ref="E10">IF($A10="","",_xlfn.XLOOKUP(1,(Table1[Line Item]=$A10)*(Table1[Fiscal Year]=VALUE(RIGHT(E$1,4))),Table1[Value],"Not found"))</f>
        <v>12293</v>
      </c>
      <c r="F10" s="5" cm="1">
        <f t="array" ref="F10">IF($A10="","",_xlfn.XLOOKUP(1,(Table1[Line Item]=$A10)*(Table1[Fiscal Year]=VALUE(RIGHT(F$1,4))),Table1[Value],"Not found"))</f>
        <v>9862</v>
      </c>
      <c r="G10" s="5" cm="1">
        <f t="array" ref="G10">IF($A10="","",_xlfn.XLOOKUP(1,(Table1[Line Item]=$A10)*(Table1[Fiscal Year]=VALUE(RIGHT(G$1,4))),Table1[Value],"Not found"))</f>
        <v>10723</v>
      </c>
      <c r="H10" s="5" cm="1">
        <f t="array" ref="H10">IF($A10="","",_xlfn.XLOOKUP(1,(Table1[Line Item]=$A10)*(Table1[Fiscal Year]=VALUE(RIGHT(H$1,4))),Table1[Value],"Not found"))</f>
        <v>10648</v>
      </c>
      <c r="I10" s="5" cm="1">
        <f t="array" ref="I10">IF($A10="","",_xlfn.XLOOKUP(1,(Table1[Line Item]=$A10)*(Table1[Fiscal Year]=VALUE(RIGHT(I$1,4))),Table1[Value],"Not found"))</f>
        <v>10178</v>
      </c>
    </row>
    <row r="11" spans="1:9" ht="15.6" thickTop="1" thickBot="1" x14ac:dyDescent="0.35">
      <c r="A11" s="6" t="s">
        <v>11</v>
      </c>
      <c r="B11" s="5" cm="1">
        <f t="array" ref="B11">IF($A11="","",_xlfn.XLOOKUP(1,(Table1[Line Item]=$A11)*(Table1[Fiscal Year]=VALUE(RIGHT(B$1,4))),Table1[Value],"Not found"))</f>
        <v>0.48599999999999999</v>
      </c>
      <c r="C11" s="5" cm="1">
        <f t="array" ref="C11">IF($A11="","",_xlfn.XLOOKUP(1,(Table1[Line Item]=$A11)*(Table1[Fiscal Year]=VALUE(RIGHT(C$1,4))),Table1[Value],"Not found"))</f>
        <v>0.504</v>
      </c>
      <c r="D11" s="5" cm="1">
        <f t="array" ref="D11">IF($A11="","",_xlfn.XLOOKUP(1,(Table1[Line Item]=$A11)*(Table1[Fiscal Year]=VALUE(RIGHT(D$1,4))),Table1[Value],"Not found"))</f>
        <v>0.51600000000000001</v>
      </c>
      <c r="E11" s="5" cm="1">
        <f t="array" ref="E11">IF($A11="","",_xlfn.XLOOKUP(1,(Table1[Line Item]=$A11)*(Table1[Fiscal Year]=VALUE(RIGHT(E$1,4))),Table1[Value],"Not found"))</f>
        <v>0.52</v>
      </c>
      <c r="F11" s="5" cm="1">
        <f t="array" ref="F11">IF($A11="","",_xlfn.XLOOKUP(1,(Table1[Line Item]=$A11)*(Table1[Fiscal Year]=VALUE(RIGHT(F$1,4))),Table1[Value],"Not found"))</f>
        <v>0.49700000000000011</v>
      </c>
      <c r="G11" s="5" cm="1">
        <f t="array" ref="G11">IF($A11="","",_xlfn.XLOOKUP(1,(Table1[Line Item]=$A11)*(Table1[Fiscal Year]=VALUE(RIGHT(G$1,4))),Table1[Value],"Not found"))</f>
        <v>0.505</v>
      </c>
      <c r="H11" s="5" cm="1">
        <f t="array" ref="H11">IF($A11="","",_xlfn.XLOOKUP(1,(Table1[Line Item]=$A11)*(Table1[Fiscal Year]=VALUE(RIGHT(H$1,4))),Table1[Value],"Not found"))</f>
        <v>0.47299999999999998</v>
      </c>
      <c r="I11" s="5" cm="1">
        <f t="array" ref="I11">IF($A11="","",_xlfn.XLOOKUP(1,(Table1[Line Item]=$A11)*(Table1[Fiscal Year]=VALUE(RIGHT(I$1,4))),Table1[Value],"Not found"))</f>
        <v>0.47499999999999998</v>
      </c>
    </row>
    <row r="12" spans="1:9" ht="15.6" thickTop="1" thickBot="1" x14ac:dyDescent="0.35">
      <c r="A12" s="7" t="s">
        <v>54</v>
      </c>
      <c r="B12" s="5" t="str" cm="1">
        <f t="array" ref="B12">IF($A12="","",_xlfn.XLOOKUP(1,(Table1[Line Item]=$A12)*(Table1[Fiscal Year]=VALUE(RIGHT(B$1,4))),Table1[Value],"Not found"))</f>
        <v/>
      </c>
      <c r="C12" s="5" t="str" cm="1">
        <f t="array" ref="C12">IF($A12="","",_xlfn.XLOOKUP(1,(Table1[Line Item]=$A12)*(Table1[Fiscal Year]=VALUE(RIGHT(C$1,4))),Table1[Value],"Not found"))</f>
        <v/>
      </c>
      <c r="D12" s="5" t="str" cm="1">
        <f t="array" ref="D12">IF($A12="","",_xlfn.XLOOKUP(1,(Table1[Line Item]=$A12)*(Table1[Fiscal Year]=VALUE(RIGHT(D$1,4))),Table1[Value],"Not found"))</f>
        <v/>
      </c>
      <c r="E12" s="5" t="str" cm="1">
        <f t="array" ref="E12">IF($A12="","",_xlfn.XLOOKUP(1,(Table1[Line Item]=$A12)*(Table1[Fiscal Year]=VALUE(RIGHT(E$1,4))),Table1[Value],"Not found"))</f>
        <v/>
      </c>
      <c r="F12" s="5" t="str" cm="1">
        <f t="array" ref="F12">IF($A12="","",_xlfn.XLOOKUP(1,(Table1[Line Item]=$A12)*(Table1[Fiscal Year]=VALUE(RIGHT(F$1,4))),Table1[Value],"Not found"))</f>
        <v/>
      </c>
      <c r="G12" s="5" t="str" cm="1">
        <f t="array" ref="G12">IF($A12="","",_xlfn.XLOOKUP(1,(Table1[Line Item]=$A12)*(Table1[Fiscal Year]=VALUE(RIGHT(G$1,4))),Table1[Value],"Not found"))</f>
        <v/>
      </c>
      <c r="H12" s="5" t="str" cm="1">
        <f t="array" ref="H12">IF($A12="","",_xlfn.XLOOKUP(1,(Table1[Line Item]=$A12)*(Table1[Fiscal Year]=VALUE(RIGHT(H$1,4))),Table1[Value],"Not found"))</f>
        <v/>
      </c>
      <c r="I12" s="5" t="str" cm="1">
        <f t="array" ref="I12">IF($A12="","",_xlfn.XLOOKUP(1,(Table1[Line Item]=$A12)*(Table1[Fiscal Year]=VALUE(RIGHT(I$1,4))),Table1[Value],"Not found"))</f>
        <v/>
      </c>
    </row>
    <row r="13" spans="1:9" ht="15.6" thickTop="1" thickBot="1" x14ac:dyDescent="0.35">
      <c r="A13" s="6" t="s">
        <v>12</v>
      </c>
      <c r="B13" s="5" cm="1">
        <f t="array" ref="B13">IF($A13="","",_xlfn.XLOOKUP(1,(Table1[Line Item]=$A13)*(Table1[Fiscal Year]=VALUE(RIGHT(B$1,4))),Table1[Value],"Not found"))</f>
        <v>108</v>
      </c>
      <c r="C13" s="5" cm="1">
        <f t="array" ref="C13">IF($A13="","",_xlfn.XLOOKUP(1,(Table1[Line Item]=$A13)*(Table1[Fiscal Year]=VALUE(RIGHT(C$1,4))),Table1[Value],"Not found"))</f>
        <v>115</v>
      </c>
      <c r="D13" s="5" cm="1">
        <f t="array" ref="D13">IF($A13="","",_xlfn.XLOOKUP(1,(Table1[Line Item]=$A13)*(Table1[Fiscal Year]=VALUE(RIGHT(D$1,4))),Table1[Value],"Not found"))</f>
        <v>121</v>
      </c>
      <c r="E13" s="5" cm="1">
        <f t="array" ref="E13">IF($A13="","",_xlfn.XLOOKUP(1,(Table1[Line Item]=$A13)*(Table1[Fiscal Year]=VALUE(RIGHT(E$1,4))),Table1[Value],"Not found"))</f>
        <v>130</v>
      </c>
      <c r="F13" s="5" cm="1">
        <f t="array" ref="F13">IF($A13="","",_xlfn.XLOOKUP(1,(Table1[Line Item]=$A13)*(Table1[Fiscal Year]=VALUE(RIGHT(F$1,4))),Table1[Value],"Not found"))</f>
        <v>96</v>
      </c>
      <c r="G13" s="5" cm="1">
        <f t="array" ref="G13">IF($A13="","",_xlfn.XLOOKUP(1,(Table1[Line Item]=$A13)*(Table1[Fiscal Year]=VALUE(RIGHT(G$1,4))),Table1[Value],"Not found"))</f>
        <v>104</v>
      </c>
      <c r="H13" s="5" cm="1">
        <f t="array" ref="H13">IF($A13="","",_xlfn.XLOOKUP(1,(Table1[Line Item]=$A13)*(Table1[Fiscal Year]=VALUE(RIGHT(H$1,4))),Table1[Value],"Not found"))</f>
        <v>112</v>
      </c>
      <c r="I13" s="5" cm="1">
        <f t="array" ref="I13">IF($A13="","",_xlfn.XLOOKUP(1,(Table1[Line Item]=$A13)*(Table1[Fiscal Year]=VALUE(RIGHT(I$1,4))),Table1[Value],"Not found"))</f>
        <v>107</v>
      </c>
    </row>
    <row r="14" spans="1:9" ht="15.6" thickTop="1" thickBot="1" x14ac:dyDescent="0.35">
      <c r="A14" s="7" t="s">
        <v>13</v>
      </c>
      <c r="B14" s="5" cm="1">
        <f t="array" ref="B14">IF($A14="","",_xlfn.XLOOKUP(1,(Table1[Line Item]=$A14)*(Table1[Fiscal Year]=VALUE(RIGHT(B$1,4))),Table1[Value],"Not found"))</f>
        <v>60</v>
      </c>
      <c r="C14" s="5" cm="1">
        <f t="array" ref="C14">IF($A14="","",_xlfn.XLOOKUP(1,(Table1[Line Item]=$A14)*(Table1[Fiscal Year]=VALUE(RIGHT(C$1,4))),Table1[Value],"Not found"))</f>
        <v>66</v>
      </c>
      <c r="D14" s="5" cm="1">
        <f t="array" ref="D14">IF($A14="","",_xlfn.XLOOKUP(1,(Table1[Line Item]=$A14)*(Table1[Fiscal Year]=VALUE(RIGHT(D$1,4))),Table1[Value],"Not found"))</f>
        <v>71</v>
      </c>
      <c r="E14" s="5" cm="1">
        <f t="array" ref="E14">IF($A14="","",_xlfn.XLOOKUP(1,(Table1[Line Item]=$A14)*(Table1[Fiscal Year]=VALUE(RIGHT(E$1,4))),Table1[Value],"Not found"))</f>
        <v>78</v>
      </c>
      <c r="F14" s="5" cm="1">
        <f t="array" ref="F14">IF($A14="","",_xlfn.XLOOKUP(1,(Table1[Line Item]=$A14)*(Table1[Fiscal Year]=VALUE(RIGHT(F$1,4))),Table1[Value],"Not found"))</f>
        <v>52</v>
      </c>
      <c r="G14" s="5" cm="1">
        <f t="array" ref="G14">IF($A14="","",_xlfn.XLOOKUP(1,(Table1[Line Item]=$A14)*(Table1[Fiscal Year]=VALUE(RIGHT(G$1,4))),Table1[Value],"Not found"))</f>
        <v>58</v>
      </c>
      <c r="H14" s="5" cm="1">
        <f t="array" ref="H14">IF($A14="","",_xlfn.XLOOKUP(1,(Table1[Line Item]=$A14)*(Table1[Fiscal Year]=VALUE(RIGHT(H$1,4))),Table1[Value],"Not found"))</f>
        <v>63</v>
      </c>
      <c r="I14" s="5" cm="1">
        <f t="array" ref="I14">IF($A14="","",_xlfn.XLOOKUP(1,(Table1[Line Item]=$A14)*(Table1[Fiscal Year]=VALUE(RIGHT(I$1,4))),Table1[Value],"Not found"))</f>
        <v>55</v>
      </c>
    </row>
    <row r="15" spans="1:9" ht="15.6" thickTop="1" thickBot="1" x14ac:dyDescent="0.35">
      <c r="A15" s="6" t="s">
        <v>15</v>
      </c>
      <c r="B15" s="5" cm="1">
        <f t="array" ref="B15">IF($A15="","",_xlfn.XLOOKUP(1,(Table1[Line Item]=$A15)*(Table1[Fiscal Year]=VALUE(RIGHT(B$1,4))),Table1[Value],"Not found"))</f>
        <v>-2532</v>
      </c>
      <c r="C15" s="5" cm="1">
        <f t="array" ref="C15">IF($A15="","",_xlfn.XLOOKUP(1,(Table1[Line Item]=$A15)*(Table1[Fiscal Year]=VALUE(RIGHT(C$1,4))),Table1[Value],"Not found"))</f>
        <v>-2843</v>
      </c>
      <c r="D15" s="5" cm="1">
        <f t="array" ref="D15">IF($A15="","",_xlfn.XLOOKUP(1,(Table1[Line Item]=$A15)*(Table1[Fiscal Year]=VALUE(RIGHT(D$1,4))),Table1[Value],"Not found"))</f>
        <v>-2871</v>
      </c>
      <c r="E15" s="5" cm="1">
        <f t="array" ref="E15">IF($A15="","",_xlfn.XLOOKUP(1,(Table1[Line Item]=$A15)*(Table1[Fiscal Year]=VALUE(RIGHT(E$1,4))),Table1[Value],"Not found"))</f>
        <v>-3026</v>
      </c>
      <c r="F15" s="5" cm="1">
        <f t="array" ref="F15">IF($A15="","",_xlfn.XLOOKUP(1,(Table1[Line Item]=$A15)*(Table1[Fiscal Year]=VALUE(RIGHT(F$1,4))),Table1[Value],"Not found"))</f>
        <v>-2361</v>
      </c>
      <c r="G15" s="5" cm="1">
        <f t="array" ref="G15">IF($A15="","",_xlfn.XLOOKUP(1,(Table1[Line Item]=$A15)*(Table1[Fiscal Year]=VALUE(RIGHT(G$1,4))),Table1[Value],"Not found"))</f>
        <v>-2569</v>
      </c>
      <c r="H15" s="5" cm="1">
        <f t="array" ref="H15">IF($A15="","",_xlfn.XLOOKUP(1,(Table1[Line Item]=$A15)*(Table1[Fiscal Year]=VALUE(RIGHT(H$1,4))),Table1[Value],"Not found"))</f>
        <v>-2791</v>
      </c>
      <c r="I15" s="5" cm="1">
        <f t="array" ref="I15">IF($A15="","",_xlfn.XLOOKUP(1,(Table1[Line Item]=$A15)*(Table1[Fiscal Year]=VALUE(RIGHT(I$1,4))),Table1[Value],"Not found"))</f>
        <v>-2636</v>
      </c>
    </row>
    <row r="16" spans="1:9" ht="15.6" thickTop="1" thickBot="1" x14ac:dyDescent="0.35">
      <c r="A16" s="7" t="s">
        <v>16</v>
      </c>
      <c r="B16" s="5" cm="1">
        <f t="array" ref="B16">IF($A16="","",_xlfn.XLOOKUP(1,(Table1[Line Item]=$A16)*(Table1[Fiscal Year]=VALUE(RIGHT(B$1,4))),Table1[Value],"Not found"))</f>
        <v>-4029</v>
      </c>
      <c r="C16" s="5" cm="1">
        <f t="array" ref="C16">IF($A16="","",_xlfn.XLOOKUP(1,(Table1[Line Item]=$A16)*(Table1[Fiscal Year]=VALUE(RIGHT(C$1,4))),Table1[Value],"Not found"))</f>
        <v>-4710</v>
      </c>
      <c r="D16" s="5" cm="1">
        <f t="array" ref="D16">IF($A16="","",_xlfn.XLOOKUP(1,(Table1[Line Item]=$A16)*(Table1[Fiscal Year]=VALUE(RIGHT(D$1,4))),Table1[Value],"Not found"))</f>
        <v>-4909</v>
      </c>
      <c r="E16" s="5" cm="1">
        <f t="array" ref="E16">IF($A16="","",_xlfn.XLOOKUP(1,(Table1[Line Item]=$A16)*(Table1[Fiscal Year]=VALUE(RIGHT(E$1,4))),Table1[Value],"Not found"))</f>
        <v>-5272</v>
      </c>
      <c r="F16" s="5" cm="1">
        <f t="array" ref="F16">IF($A16="","",_xlfn.XLOOKUP(1,(Table1[Line Item]=$A16)*(Table1[Fiscal Year]=VALUE(RIGHT(F$1,4))),Table1[Value],"Not found"))</f>
        <v>-5358</v>
      </c>
      <c r="G16" s="5" cm="1">
        <f t="array" ref="G16">IF($A16="","",_xlfn.XLOOKUP(1,(Table1[Line Item]=$A16)*(Table1[Fiscal Year]=VALUE(RIGHT(G$1,4))),Table1[Value],"Not found"))</f>
        <v>-4969</v>
      </c>
      <c r="H16" s="5" cm="1">
        <f t="array" ref="H16">IF($A16="","",_xlfn.XLOOKUP(1,(Table1[Line Item]=$A16)*(Table1[Fiscal Year]=VALUE(RIGHT(H$1,4))),Table1[Value],"Not found"))</f>
        <v>-5470</v>
      </c>
      <c r="I16" s="5" cm="1">
        <f t="array" ref="I16">IF($A16="","",_xlfn.XLOOKUP(1,(Table1[Line Item]=$A16)*(Table1[Fiscal Year]=VALUE(RIGHT(I$1,4))),Table1[Value],"Not found"))</f>
        <v>-5528</v>
      </c>
    </row>
    <row r="17" spans="1:9" ht="15.6" thickTop="1" thickBot="1" x14ac:dyDescent="0.35">
      <c r="A17" s="6" t="s">
        <v>17</v>
      </c>
      <c r="B17" s="5" cm="1">
        <f t="array" ref="B17">IF($A17="","",_xlfn.XLOOKUP(1,(Table1[Line Item]=$A17)*(Table1[Fiscal Year]=VALUE(RIGHT(B$1,4))),Table1[Value],"Not found"))</f>
        <v>-998</v>
      </c>
      <c r="C17" s="5" cm="1">
        <f t="array" ref="C17">IF($A17="","",_xlfn.XLOOKUP(1,(Table1[Line Item]=$A17)*(Table1[Fiscal Year]=VALUE(RIGHT(C$1,4))),Table1[Value],"Not found"))</f>
        <v>-1125</v>
      </c>
      <c r="D17" s="5" cm="1">
        <f t="array" ref="D17">IF($A17="","",_xlfn.XLOOKUP(1,(Table1[Line Item]=$A17)*(Table1[Fiscal Year]=VALUE(RIGHT(D$1,4))),Table1[Value],"Not found"))</f>
        <v>-1140</v>
      </c>
      <c r="E17" s="5" cm="1">
        <f t="array" ref="E17">IF($A17="","",_xlfn.XLOOKUP(1,(Table1[Line Item]=$A17)*(Table1[Fiscal Year]=VALUE(RIGHT(E$1,4))),Table1[Value],"Not found"))</f>
        <v>-1347</v>
      </c>
      <c r="F17" s="5" cm="1">
        <f t="array" ref="F17">IF($A17="","",_xlfn.XLOOKUP(1,(Table1[Line Item]=$A17)*(Table1[Fiscal Year]=VALUE(RIGHT(F$1,4))),Table1[Value],"Not found"))</f>
        <v>-1290</v>
      </c>
      <c r="G17" s="5" cm="1">
        <f t="array" ref="G17">IF($A17="","",_xlfn.XLOOKUP(1,(Table1[Line Item]=$A17)*(Table1[Fiscal Year]=VALUE(RIGHT(G$1,4))),Table1[Value],"Not found"))</f>
        <v>-1295</v>
      </c>
      <c r="H17" s="5" cm="1">
        <f t="array" ref="H17">IF($A17="","",_xlfn.XLOOKUP(1,(Table1[Line Item]=$A17)*(Table1[Fiscal Year]=VALUE(RIGHT(H$1,4))),Table1[Value],"Not found"))</f>
        <v>-1756</v>
      </c>
      <c r="I17" s="5" cm="1">
        <f t="array" ref="I17">IF($A17="","",_xlfn.XLOOKUP(1,(Table1[Line Item]=$A17)*(Table1[Fiscal Year]=VALUE(RIGHT(I$1,4))),Table1[Value],"Not found"))</f>
        <v>-1564</v>
      </c>
    </row>
    <row r="18" spans="1:9" ht="15.6" thickTop="1" thickBot="1" x14ac:dyDescent="0.35">
      <c r="A18" s="7" t="s">
        <v>18</v>
      </c>
      <c r="B18" s="5" cm="1">
        <f t="array" ref="B18">IF($A18="","",_xlfn.XLOOKUP(1,(Table1[Line Item]=$A18)*(Table1[Fiscal Year]=VALUE(RIGHT(B$1,4))),Table1[Value],"Not found"))</f>
        <v>-185</v>
      </c>
      <c r="C18" s="5" cm="1">
        <f t="array" ref="C18">IF($A18="","",_xlfn.XLOOKUP(1,(Table1[Line Item]=$A18)*(Table1[Fiscal Year]=VALUE(RIGHT(C$1,4))),Table1[Value],"Not found"))</f>
        <v>-212</v>
      </c>
      <c r="D18" s="5" cm="1">
        <f t="array" ref="D18">IF($A18="","",_xlfn.XLOOKUP(1,(Table1[Line Item]=$A18)*(Table1[Fiscal Year]=VALUE(RIGHT(D$1,4))),Table1[Value],"Not found"))</f>
        <v>-219</v>
      </c>
      <c r="E18" s="5" cm="1">
        <f t="array" ref="E18">IF($A18="","",_xlfn.XLOOKUP(1,(Table1[Line Item]=$A18)*(Table1[Fiscal Year]=VALUE(RIGHT(E$1,4))),Table1[Value],"Not found"))</f>
        <v>-236</v>
      </c>
      <c r="F18" s="5" cm="1">
        <f t="array" ref="F18">IF($A18="","",_xlfn.XLOOKUP(1,(Table1[Line Item]=$A18)*(Table1[Fiscal Year]=VALUE(RIGHT(F$1,4))),Table1[Value],"Not found"))</f>
        <v>-198</v>
      </c>
      <c r="G18" s="5" cm="1">
        <f t="array" ref="G18">IF($A18="","",_xlfn.XLOOKUP(1,(Table1[Line Item]=$A18)*(Table1[Fiscal Year]=VALUE(RIGHT(G$1,4))),Table1[Value],"Not found"))</f>
        <v>-212</v>
      </c>
      <c r="H18" s="5" cm="1">
        <f t="array" ref="H18">IF($A18="","",_xlfn.XLOOKUP(1,(Table1[Line Item]=$A18)*(Table1[Fiscal Year]=VALUE(RIGHT(H$1,4))),Table1[Value],"Not found"))</f>
        <v>-225</v>
      </c>
      <c r="I18" s="5" cm="1">
        <f t="array" ref="I18">IF($A18="","",_xlfn.XLOOKUP(1,(Table1[Line Item]=$A18)*(Table1[Fiscal Year]=VALUE(RIGHT(I$1,4))),Table1[Value],"Not found"))</f>
        <v>-257</v>
      </c>
    </row>
    <row r="19" spans="1:9" ht="15.6" thickTop="1" thickBot="1" x14ac:dyDescent="0.35">
      <c r="A19" s="6" t="s">
        <v>19</v>
      </c>
      <c r="B19" s="5" cm="1">
        <f t="array" ref="B19">IF($A19="","",_xlfn.XLOOKUP(1,(Table1[Line Item]=$A19)*(Table1[Fiscal Year]=VALUE(RIGHT(B$1,4))),Table1[Value],"Not found"))</f>
        <v>-7744</v>
      </c>
      <c r="C19" s="5" cm="1">
        <f t="array" ref="C19">IF($A19="","",_xlfn.XLOOKUP(1,(Table1[Line Item]=$A19)*(Table1[Fiscal Year]=VALUE(RIGHT(C$1,4))),Table1[Value],"Not found"))</f>
        <v>-8890</v>
      </c>
      <c r="D19" s="5" cm="1">
        <f t="array" ref="D19">IF($A19="","",_xlfn.XLOOKUP(1,(Table1[Line Item]=$A19)*(Table1[Fiscal Year]=VALUE(RIGHT(D$1,4))),Table1[Value],"Not found"))</f>
        <v>-9139</v>
      </c>
      <c r="E19" s="5" cm="1">
        <f t="array" ref="E19">IF($A19="","",_xlfn.XLOOKUP(1,(Table1[Line Item]=$A19)*(Table1[Fiscal Year]=VALUE(RIGHT(E$1,4))),Table1[Value],"Not found"))</f>
        <v>-9881</v>
      </c>
      <c r="F19" s="5" cm="1">
        <f t="array" ref="F19">IF($A19="","",_xlfn.XLOOKUP(1,(Table1[Line Item]=$A19)*(Table1[Fiscal Year]=VALUE(RIGHT(F$1,4))),Table1[Value],"Not found"))</f>
        <v>-9207</v>
      </c>
      <c r="G19" s="5" cm="1">
        <f t="array" ref="G19">IF($A19="","",_xlfn.XLOOKUP(1,(Table1[Line Item]=$A19)*(Table1[Fiscal Year]=VALUE(RIGHT(G$1,4))),Table1[Value],"Not found"))</f>
        <v>-9045</v>
      </c>
      <c r="H19" s="5" cm="1">
        <f t="array" ref="H19">IF($A19="","",_xlfn.XLOOKUP(1,(Table1[Line Item]=$A19)*(Table1[Fiscal Year]=VALUE(RIGHT(H$1,4))),Table1[Value],"Not found"))</f>
        <v>-10242</v>
      </c>
      <c r="I19" s="5" cm="1">
        <f t="array" ref="I19">IF($A19="","",_xlfn.XLOOKUP(1,(Table1[Line Item]=$A19)*(Table1[Fiscal Year]=VALUE(RIGHT(I$1,4))),Table1[Value],"Not found"))</f>
        <v>-9985</v>
      </c>
    </row>
    <row r="20" spans="1:9" ht="15.6" thickTop="1" thickBot="1" x14ac:dyDescent="0.35">
      <c r="A20" s="7" t="s">
        <v>20</v>
      </c>
      <c r="B20" s="5" cm="1">
        <f t="array" ref="B20">IF($A20="","",_xlfn.XLOOKUP(1,(Table1[Line Item]=$A20)*(Table1[Fiscal Year]=VALUE(RIGHT(B$1,4))),Table1[Value],"Not found"))</f>
        <v>0</v>
      </c>
      <c r="C20" s="5" cm="1">
        <f t="array" ref="C20">IF($A20="","",_xlfn.XLOOKUP(1,(Table1[Line Item]=$A20)*(Table1[Fiscal Year]=VALUE(RIGHT(C$1,4))),Table1[Value],"Not found"))</f>
        <v>0</v>
      </c>
      <c r="D20" s="5" cm="1">
        <f t="array" ref="D20">IF($A20="","",_xlfn.XLOOKUP(1,(Table1[Line Item]=$A20)*(Table1[Fiscal Year]=VALUE(RIGHT(D$1,4))),Table1[Value],"Not found"))</f>
        <v>0</v>
      </c>
      <c r="E20" s="5" cm="1">
        <f t="array" ref="E20">IF($A20="","",_xlfn.XLOOKUP(1,(Table1[Line Item]=$A20)*(Table1[Fiscal Year]=VALUE(RIGHT(E$1,4))),Table1[Value],"Not found"))</f>
        <v>0</v>
      </c>
      <c r="F20" s="5" cm="1">
        <f t="array" ref="F20">IF($A20="","",_xlfn.XLOOKUP(1,(Table1[Line Item]=$A20)*(Table1[Fiscal Year]=VALUE(RIGHT(F$1,4))),Table1[Value],"Not found"))</f>
        <v>0</v>
      </c>
      <c r="G20" s="5" cm="1">
        <f t="array" ref="G20">IF($A20="","",_xlfn.XLOOKUP(1,(Table1[Line Item]=$A20)*(Table1[Fiscal Year]=VALUE(RIGHT(G$1,4))),Table1[Value],"Not found"))</f>
        <v>0</v>
      </c>
      <c r="H20" s="5" cm="1">
        <f t="array" ref="H20">IF($A20="","",_xlfn.XLOOKUP(1,(Table1[Line Item]=$A20)*(Table1[Fiscal Year]=VALUE(RIGHT(H$1,4))),Table1[Value],"Not found"))</f>
        <v>-194</v>
      </c>
      <c r="I20" s="5" cm="1">
        <f t="array" ref="I20">IF($A20="","",_xlfn.XLOOKUP(1,(Table1[Line Item]=$A20)*(Table1[Fiscal Year]=VALUE(RIGHT(I$1,4))),Table1[Value],"Not found"))</f>
        <v>0</v>
      </c>
    </row>
    <row r="21" spans="1:9" ht="15.6" thickTop="1" thickBot="1" x14ac:dyDescent="0.35">
      <c r="A21" s="6" t="s">
        <v>54</v>
      </c>
      <c r="B21" s="5" t="str" cm="1">
        <f t="array" ref="B21">IF($A21="","",_xlfn.XLOOKUP(1,(Table1[Line Item]=$A21)*(Table1[Fiscal Year]=VALUE(RIGHT(B$1,4))),Table1[Value],"Not found"))</f>
        <v/>
      </c>
      <c r="C21" s="5" t="str" cm="1">
        <f t="array" ref="C21">IF($A21="","",_xlfn.XLOOKUP(1,(Table1[Line Item]=$A21)*(Table1[Fiscal Year]=VALUE(RIGHT(C$1,4))),Table1[Value],"Not found"))</f>
        <v/>
      </c>
      <c r="D21" s="5" t="str" cm="1">
        <f t="array" ref="D21">IF($A21="","",_xlfn.XLOOKUP(1,(Table1[Line Item]=$A21)*(Table1[Fiscal Year]=VALUE(RIGHT(D$1,4))),Table1[Value],"Not found"))</f>
        <v/>
      </c>
      <c r="E21" s="5" t="str" cm="1">
        <f t="array" ref="E21">IF($A21="","",_xlfn.XLOOKUP(1,(Table1[Line Item]=$A21)*(Table1[Fiscal Year]=VALUE(RIGHT(E$1,4))),Table1[Value],"Not found"))</f>
        <v/>
      </c>
      <c r="F21" s="5" t="str" cm="1">
        <f t="array" ref="F21">IF($A21="","",_xlfn.XLOOKUP(1,(Table1[Line Item]=$A21)*(Table1[Fiscal Year]=VALUE(RIGHT(F$1,4))),Table1[Value],"Not found"))</f>
        <v/>
      </c>
      <c r="G21" s="5" t="str" cm="1">
        <f t="array" ref="G21">IF($A21="","",_xlfn.XLOOKUP(1,(Table1[Line Item]=$A21)*(Table1[Fiscal Year]=VALUE(RIGHT(G$1,4))),Table1[Value],"Not found"))</f>
        <v/>
      </c>
      <c r="H21" s="5" t="str" cm="1">
        <f t="array" ref="H21">IF($A21="","",_xlfn.XLOOKUP(1,(Table1[Line Item]=$A21)*(Table1[Fiscal Year]=VALUE(RIGHT(H$1,4))),Table1[Value],"Not found"))</f>
        <v/>
      </c>
      <c r="I21" s="5" t="str" cm="1">
        <f t="array" ref="I21">IF($A21="","",_xlfn.XLOOKUP(1,(Table1[Line Item]=$A21)*(Table1[Fiscal Year]=VALUE(RIGHT(I$1,4))),Table1[Value],"Not found"))</f>
        <v/>
      </c>
    </row>
    <row r="22" spans="1:9" ht="15.6" thickTop="1" thickBot="1" x14ac:dyDescent="0.35">
      <c r="A22" s="7" t="s">
        <v>21</v>
      </c>
      <c r="B22" s="5" cm="1">
        <f t="array" ref="B22">IF($A22="","",_xlfn.XLOOKUP(1,(Table1[Line Item]=$A22)*(Table1[Fiscal Year]=VALUE(RIGHT(B$1,4))),Table1[Value],"Not found"))</f>
        <v>1407</v>
      </c>
      <c r="C22" s="5" cm="1">
        <f t="array" ref="C22">IF($A22="","",_xlfn.XLOOKUP(1,(Table1[Line Item]=$A22)*(Table1[Fiscal Year]=VALUE(RIGHT(C$1,4))),Table1[Value],"Not found"))</f>
        <v>1985</v>
      </c>
      <c r="D22" s="5" cm="1">
        <f t="array" ref="D22">IF($A22="","",_xlfn.XLOOKUP(1,(Table1[Line Item]=$A22)*(Table1[Fiscal Year]=VALUE(RIGHT(D$1,4))),Table1[Value],"Not found"))</f>
        <v>2361</v>
      </c>
      <c r="E22" s="5" cm="1">
        <f t="array" ref="E22">IF($A22="","",_xlfn.XLOOKUP(1,(Table1[Line Item]=$A22)*(Table1[Fiscal Year]=VALUE(RIGHT(E$1,4))),Table1[Value],"Not found"))</f>
        <v>2620</v>
      </c>
      <c r="F22" s="5" cm="1">
        <f t="array" ref="F22">IF($A22="","",_xlfn.XLOOKUP(1,(Table1[Line Item]=$A22)*(Table1[Fiscal Year]=VALUE(RIGHT(F$1,4))),Table1[Value],"Not found"))</f>
        <v>803</v>
      </c>
      <c r="G22" s="5" cm="1">
        <f t="array" ref="G22">IF($A22="","",_xlfn.XLOOKUP(1,(Table1[Line Item]=$A22)*(Table1[Fiscal Year]=VALUE(RIGHT(G$1,4))),Table1[Value],"Not found"))</f>
        <v>1840</v>
      </c>
      <c r="H22" s="5" cm="1">
        <f t="array" ref="H22">IF($A22="","",_xlfn.XLOOKUP(1,(Table1[Line Item]=$A22)*(Table1[Fiscal Year]=VALUE(RIGHT(H$1,4))),Table1[Value],"Not found"))</f>
        <v>387</v>
      </c>
      <c r="I22" s="5" cm="1">
        <f t="array" ref="I22">IF($A22="","",_xlfn.XLOOKUP(1,(Table1[Line Item]=$A22)*(Table1[Fiscal Year]=VALUE(RIGHT(I$1,4))),Table1[Value],"Not found"))</f>
        <v>355</v>
      </c>
    </row>
    <row r="23" spans="1:9" ht="15.6" thickTop="1" thickBot="1" x14ac:dyDescent="0.35">
      <c r="A23" s="6" t="s">
        <v>22</v>
      </c>
      <c r="B23" s="5" cm="1">
        <f t="array" ref="B23">IF($A23="","",_xlfn.XLOOKUP(1,(Table1[Line Item]=$A23)*(Table1[Fiscal Year]=VALUE(RIGHT(B$1,4))),Table1[Value],"Not found"))</f>
        <v>7.5999999999999998E-2</v>
      </c>
      <c r="C23" s="5" cm="1">
        <f t="array" ref="C23">IF($A23="","",_xlfn.XLOOKUP(1,(Table1[Line Item]=$A23)*(Table1[Fiscal Year]=VALUE(RIGHT(C$1,4))),Table1[Value],"Not found"))</f>
        <v>9.4E-2</v>
      </c>
      <c r="D23" s="5" cm="1">
        <f t="array" ref="D23">IF($A23="","",_xlfn.XLOOKUP(1,(Table1[Line Item]=$A23)*(Table1[Fiscal Year]=VALUE(RIGHT(D$1,4))),Table1[Value],"Not found"))</f>
        <v>0.108</v>
      </c>
      <c r="E23" s="5" cm="1">
        <f t="array" ref="E23">IF($A23="","",_xlfn.XLOOKUP(1,(Table1[Line Item]=$A23)*(Table1[Fiscal Year]=VALUE(RIGHT(E$1,4))),Table1[Value],"Not found"))</f>
        <v>0.111</v>
      </c>
      <c r="F23" s="5" cm="1">
        <f t="array" ref="F23">IF($A23="","",_xlfn.XLOOKUP(1,(Table1[Line Item]=$A23)*(Table1[Fiscal Year]=VALUE(RIGHT(F$1,4))),Table1[Value],"Not found"))</f>
        <v>0.04</v>
      </c>
      <c r="G23" s="5" cm="1">
        <f t="array" ref="G23">IF($A23="","",_xlfn.XLOOKUP(1,(Table1[Line Item]=$A23)*(Table1[Fiscal Year]=VALUE(RIGHT(G$1,4))),Table1[Value],"Not found"))</f>
        <v>8.6999999999999994E-2</v>
      </c>
      <c r="H23" s="5" cm="1">
        <f t="array" ref="H23">IF($A23="","",_xlfn.XLOOKUP(1,(Table1[Line Item]=$A23)*(Table1[Fiscal Year]=VALUE(RIGHT(H$1,4))),Table1[Value],"Not found"))</f>
        <v>1.7000000000000001E-2</v>
      </c>
      <c r="I23" s="5" cm="1">
        <f t="array" ref="I23">IF($A23="","",_xlfn.XLOOKUP(1,(Table1[Line Item]=$A23)*(Table1[Fiscal Year]=VALUE(RIGHT(I$1,4))),Table1[Value],"Not found"))</f>
        <v>1.7000000000000001E-2</v>
      </c>
    </row>
    <row r="24" spans="1:9" ht="15.6" thickTop="1" thickBot="1" x14ac:dyDescent="0.35">
      <c r="A24" s="7" t="s">
        <v>54</v>
      </c>
      <c r="B24" s="5" t="str" cm="1">
        <f t="array" ref="B24">IF($A24="","",_xlfn.XLOOKUP(1,(Table1[Line Item]=$A24)*(Table1[Fiscal Year]=VALUE(RIGHT(B$1,4))),Table1[Value],"Not found"))</f>
        <v/>
      </c>
      <c r="C24" s="5" t="str" cm="1">
        <f t="array" ref="C24">IF($A24="","",_xlfn.XLOOKUP(1,(Table1[Line Item]=$A24)*(Table1[Fiscal Year]=VALUE(RIGHT(C$1,4))),Table1[Value],"Not found"))</f>
        <v/>
      </c>
      <c r="D24" s="5" t="str" cm="1">
        <f t="array" ref="D24">IF($A24="","",_xlfn.XLOOKUP(1,(Table1[Line Item]=$A24)*(Table1[Fiscal Year]=VALUE(RIGHT(D$1,4))),Table1[Value],"Not found"))</f>
        <v/>
      </c>
      <c r="E24" s="5" t="str" cm="1">
        <f t="array" ref="E24">IF($A24="","",_xlfn.XLOOKUP(1,(Table1[Line Item]=$A24)*(Table1[Fiscal Year]=VALUE(RIGHT(E$1,4))),Table1[Value],"Not found"))</f>
        <v/>
      </c>
      <c r="F24" s="5" t="str" cm="1">
        <f t="array" ref="F24">IF($A24="","",_xlfn.XLOOKUP(1,(Table1[Line Item]=$A24)*(Table1[Fiscal Year]=VALUE(RIGHT(F$1,4))),Table1[Value],"Not found"))</f>
        <v/>
      </c>
      <c r="G24" s="5" t="str" cm="1">
        <f t="array" ref="G24">IF($A24="","",_xlfn.XLOOKUP(1,(Table1[Line Item]=$A24)*(Table1[Fiscal Year]=VALUE(RIGHT(G$1,4))),Table1[Value],"Not found"))</f>
        <v/>
      </c>
      <c r="H24" s="5" t="str" cm="1">
        <f t="array" ref="H24">IF($A24="","",_xlfn.XLOOKUP(1,(Table1[Line Item]=$A24)*(Table1[Fiscal Year]=VALUE(RIGHT(H$1,4))),Table1[Value],"Not found"))</f>
        <v/>
      </c>
      <c r="I24" s="5" t="str" cm="1">
        <f t="array" ref="I24">IF($A24="","",_xlfn.XLOOKUP(1,(Table1[Line Item]=$A24)*(Table1[Fiscal Year]=VALUE(RIGHT(I$1,4))),Table1[Value],"Not found"))</f>
        <v/>
      </c>
    </row>
    <row r="25" spans="1:9" ht="15.6" thickTop="1" thickBot="1" x14ac:dyDescent="0.35">
      <c r="A25" s="6" t="s">
        <v>23</v>
      </c>
      <c r="B25" s="5" cm="1">
        <f t="array" ref="B25">IF($A25="","",_xlfn.XLOOKUP(1,(Table1[Line Item]=$A25)*(Table1[Fiscal Year]=VALUE(RIGHT(B$1,4))),Table1[Value],"Not found"))</f>
        <v>20</v>
      </c>
      <c r="C25" s="5" cm="1">
        <f t="array" ref="C25">IF($A25="","",_xlfn.XLOOKUP(1,(Table1[Line Item]=$A25)*(Table1[Fiscal Year]=VALUE(RIGHT(C$1,4))),Table1[Value],"Not found"))</f>
        <v>24</v>
      </c>
      <c r="D25" s="5" cm="1">
        <f t="array" ref="D25">IF($A25="","",_xlfn.XLOOKUP(1,(Table1[Line Item]=$A25)*(Table1[Fiscal Year]=VALUE(RIGHT(D$1,4))),Table1[Value],"Not found"))</f>
        <v>28</v>
      </c>
      <c r="E25" s="5" cm="1">
        <f t="array" ref="E25">IF($A25="","",_xlfn.XLOOKUP(1,(Table1[Line Item]=$A25)*(Table1[Fiscal Year]=VALUE(RIGHT(E$1,4))),Table1[Value],"Not found"))</f>
        <v>32</v>
      </c>
      <c r="F25" s="5" cm="1">
        <f t="array" ref="F25">IF($A25="","",_xlfn.XLOOKUP(1,(Table1[Line Item]=$A25)*(Table1[Fiscal Year]=VALUE(RIGHT(F$1,4))),Table1[Value],"Not found"))</f>
        <v>26</v>
      </c>
      <c r="G25" s="5" cm="1">
        <f t="array" ref="G25">IF($A25="","",_xlfn.XLOOKUP(1,(Table1[Line Item]=$A25)*(Table1[Fiscal Year]=VALUE(RIGHT(G$1,4))),Table1[Value],"Not found"))</f>
        <v>30</v>
      </c>
      <c r="H25" s="5" cm="1">
        <f t="array" ref="H25">IF($A25="","",_xlfn.XLOOKUP(1,(Table1[Line Item]=$A25)*(Table1[Fiscal Year]=VALUE(RIGHT(H$1,4))),Table1[Value],"Not found"))</f>
        <v>44</v>
      </c>
      <c r="I25" s="5" cm="1">
        <f t="array" ref="I25">IF($A25="","",_xlfn.XLOOKUP(1,(Table1[Line Item]=$A25)*(Table1[Fiscal Year]=VALUE(RIGHT(I$1,4))),Table1[Value],"Not found"))</f>
        <v>62</v>
      </c>
    </row>
    <row r="26" spans="1:9" ht="15.6" thickTop="1" thickBot="1" x14ac:dyDescent="0.35">
      <c r="A26" s="7" t="s">
        <v>24</v>
      </c>
      <c r="B26" s="5" cm="1">
        <f t="array" ref="B26">IF($A26="","",_xlfn.XLOOKUP(1,(Table1[Line Item]=$A26)*(Table1[Fiscal Year]=VALUE(RIGHT(B$1,4))),Table1[Value],"Not found"))</f>
        <v>-74</v>
      </c>
      <c r="C26" s="5" cm="1">
        <f t="array" ref="C26">IF($A26="","",_xlfn.XLOOKUP(1,(Table1[Line Item]=$A26)*(Table1[Fiscal Year]=VALUE(RIGHT(C$1,4))),Table1[Value],"Not found"))</f>
        <v>-82</v>
      </c>
      <c r="D26" s="5" cm="1">
        <f t="array" ref="D26">IF($A26="","",_xlfn.XLOOKUP(1,(Table1[Line Item]=$A26)*(Table1[Fiscal Year]=VALUE(RIGHT(D$1,4))),Table1[Value],"Not found"))</f>
        <v>-91</v>
      </c>
      <c r="E26" s="5" cm="1">
        <f t="array" ref="E26">IF($A26="","",_xlfn.XLOOKUP(1,(Table1[Line Item]=$A26)*(Table1[Fiscal Year]=VALUE(RIGHT(E$1,4))),Table1[Value],"Not found"))</f>
        <v>-166</v>
      </c>
      <c r="F26" s="5" cm="1">
        <f t="array" ref="F26">IF($A26="","",_xlfn.XLOOKUP(1,(Table1[Line Item]=$A26)*(Table1[Fiscal Year]=VALUE(RIGHT(F$1,4))),Table1[Value],"Not found"))</f>
        <v>-178</v>
      </c>
      <c r="G26" s="5" cm="1">
        <f t="array" ref="G26">IF($A26="","",_xlfn.XLOOKUP(1,(Table1[Line Item]=$A26)*(Table1[Fiscal Year]=VALUE(RIGHT(G$1,4))),Table1[Value],"Not found"))</f>
        <v>-172</v>
      </c>
      <c r="H26" s="5" cm="1">
        <f t="array" ref="H26">IF($A26="","",_xlfn.XLOOKUP(1,(Table1[Line Item]=$A26)*(Table1[Fiscal Year]=VALUE(RIGHT(H$1,4))),Table1[Value],"Not found"))</f>
        <v>-199</v>
      </c>
      <c r="I26" s="5" cm="1">
        <f t="array" ref="I26">IF($A26="","",_xlfn.XLOOKUP(1,(Table1[Line Item]=$A26)*(Table1[Fiscal Year]=VALUE(RIGHT(I$1,4))),Table1[Value],"Not found"))</f>
        <v>-242</v>
      </c>
    </row>
    <row r="27" spans="1:9" ht="15.6" thickTop="1" thickBot="1" x14ac:dyDescent="0.35">
      <c r="A27" s="6" t="s">
        <v>25</v>
      </c>
      <c r="B27" s="5" cm="1">
        <f t="array" ref="B27">IF($A27="","",_xlfn.XLOOKUP(1,(Table1[Line Item]=$A27)*(Table1[Fiscal Year]=VALUE(RIGHT(B$1,4))),Table1[Value],"Not found"))</f>
        <v>1353</v>
      </c>
      <c r="C27" s="5" cm="1">
        <f t="array" ref="C27">IF($A27="","",_xlfn.XLOOKUP(1,(Table1[Line Item]=$A27)*(Table1[Fiscal Year]=VALUE(RIGHT(C$1,4))),Table1[Value],"Not found"))</f>
        <v>1927</v>
      </c>
      <c r="D27" s="5" cm="1">
        <f t="array" ref="D27">IF($A27="","",_xlfn.XLOOKUP(1,(Table1[Line Item]=$A27)*(Table1[Fiscal Year]=VALUE(RIGHT(D$1,4))),Table1[Value],"Not found"))</f>
        <v>2298</v>
      </c>
      <c r="E27" s="5" cm="1">
        <f t="array" ref="E27">IF($A27="","",_xlfn.XLOOKUP(1,(Table1[Line Item]=$A27)*(Table1[Fiscal Year]=VALUE(RIGHT(E$1,4))),Table1[Value],"Not found"))</f>
        <v>2486</v>
      </c>
      <c r="F27" s="5" cm="1">
        <f t="array" ref="F27">IF($A27="","",_xlfn.XLOOKUP(1,(Table1[Line Item]=$A27)*(Table1[Fiscal Year]=VALUE(RIGHT(F$1,4))),Table1[Value],"Not found"))</f>
        <v>651</v>
      </c>
      <c r="G27" s="5" cm="1">
        <f t="array" ref="G27">IF($A27="","",_xlfn.XLOOKUP(1,(Table1[Line Item]=$A27)*(Table1[Fiscal Year]=VALUE(RIGHT(G$1,4))),Table1[Value],"Not found"))</f>
        <v>1698</v>
      </c>
      <c r="H27" s="5" cm="1">
        <f t="array" ref="H27">IF($A27="","",_xlfn.XLOOKUP(1,(Table1[Line Item]=$A27)*(Table1[Fiscal Year]=VALUE(RIGHT(H$1,4))),Table1[Value],"Not found"))</f>
        <v>232</v>
      </c>
      <c r="I27" s="5" cm="1">
        <f t="array" ref="I27">IF($A27="","",_xlfn.XLOOKUP(1,(Table1[Line Item]=$A27)*(Table1[Fiscal Year]=VALUE(RIGHT(I$1,4))),Table1[Value],"Not found"))</f>
        <v>175</v>
      </c>
    </row>
    <row r="28" spans="1:9" ht="15.6" thickTop="1" thickBot="1" x14ac:dyDescent="0.35">
      <c r="A28" s="7" t="s">
        <v>26</v>
      </c>
      <c r="B28" s="5" cm="1">
        <f t="array" ref="B28">IF($A28="","",_xlfn.XLOOKUP(1,(Table1[Line Item]=$A28)*(Table1[Fiscal Year]=VALUE(RIGHT(B$1,4))),Table1[Value],"Not found"))</f>
        <v>-392</v>
      </c>
      <c r="C28" s="5" cm="1">
        <f t="array" ref="C28">IF($A28="","",_xlfn.XLOOKUP(1,(Table1[Line Item]=$A28)*(Table1[Fiscal Year]=VALUE(RIGHT(C$1,4))),Table1[Value],"Not found"))</f>
        <v>-540</v>
      </c>
      <c r="D28" s="5" cm="1">
        <f t="array" ref="D28">IF($A28="","",_xlfn.XLOOKUP(1,(Table1[Line Item]=$A28)*(Table1[Fiscal Year]=VALUE(RIGHT(D$1,4))),Table1[Value],"Not found"))</f>
        <v>-597</v>
      </c>
      <c r="E28" s="5" cm="1">
        <f t="array" ref="E28">IF($A28="","",_xlfn.XLOOKUP(1,(Table1[Line Item]=$A28)*(Table1[Fiscal Year]=VALUE(RIGHT(E$1,4))),Table1[Value],"Not found"))</f>
        <v>-622</v>
      </c>
      <c r="F28" s="5" cm="1">
        <f t="array" ref="F28">IF($A28="","",_xlfn.XLOOKUP(1,(Table1[Line Item]=$A28)*(Table1[Fiscal Year]=VALUE(RIGHT(F$1,4))),Table1[Value],"Not found"))</f>
        <v>-228</v>
      </c>
      <c r="G28" s="5" cm="1">
        <f t="array" ref="G28">IF($A28="","",_xlfn.XLOOKUP(1,(Table1[Line Item]=$A28)*(Table1[Fiscal Year]=VALUE(RIGHT(G$1,4))),Table1[Value],"Not found"))</f>
        <v>-475</v>
      </c>
      <c r="H28" s="5" cm="1">
        <f t="array" ref="H28">IF($A28="","",_xlfn.XLOOKUP(1,(Table1[Line Item]=$A28)*(Table1[Fiscal Year]=VALUE(RIGHT(H$1,4))),Table1[Value],"Not found"))</f>
        <v>-174</v>
      </c>
      <c r="I28" s="5" cm="1">
        <f t="array" ref="I28">IF($A28="","",_xlfn.XLOOKUP(1,(Table1[Line Item]=$A28)*(Table1[Fiscal Year]=VALUE(RIGHT(I$1,4))),Table1[Value],"Not found"))</f>
        <v>-201</v>
      </c>
    </row>
    <row r="29" spans="1:9" ht="15.6" thickTop="1" thickBot="1" x14ac:dyDescent="0.35">
      <c r="A29" s="6" t="s">
        <v>27</v>
      </c>
      <c r="B29" s="5" cm="1">
        <f t="array" ref="B29">IF($A29="","",_xlfn.XLOOKUP(1,(Table1[Line Item]=$A29)*(Table1[Fiscal Year]=VALUE(RIGHT(B$1,4))),Table1[Value],"Not found"))</f>
        <v>0.28999999999999998</v>
      </c>
      <c r="C29" s="5" cm="1">
        <f t="array" ref="C29">IF($A29="","",_xlfn.XLOOKUP(1,(Table1[Line Item]=$A29)*(Table1[Fiscal Year]=VALUE(RIGHT(C$1,4))),Table1[Value],"Not found"))</f>
        <v>0.28000000000000003</v>
      </c>
      <c r="D29" s="5" cm="1">
        <f t="array" ref="D29">IF($A29="","",_xlfn.XLOOKUP(1,(Table1[Line Item]=$A29)*(Table1[Fiscal Year]=VALUE(RIGHT(D$1,4))),Table1[Value],"Not found"))</f>
        <v>0.26</v>
      </c>
      <c r="E29" s="5" cm="1">
        <f t="array" ref="E29">IF($A29="","",_xlfn.XLOOKUP(1,(Table1[Line Item]=$A29)*(Table1[Fiscal Year]=VALUE(RIGHT(E$1,4))),Table1[Value],"Not found"))</f>
        <v>0.25</v>
      </c>
      <c r="F29" s="5" cm="1">
        <f t="array" ref="F29">IF($A29="","",_xlfn.XLOOKUP(1,(Table1[Line Item]=$A29)*(Table1[Fiscal Year]=VALUE(RIGHT(F$1,4))),Table1[Value],"Not found"))</f>
        <v>0.35</v>
      </c>
      <c r="G29" s="5" cm="1">
        <f t="array" ref="G29">IF($A29="","",_xlfn.XLOOKUP(1,(Table1[Line Item]=$A29)*(Table1[Fiscal Year]=VALUE(RIGHT(G$1,4))),Table1[Value],"Not found"))</f>
        <v>0.28000000000000003</v>
      </c>
      <c r="H29" s="5" cm="1">
        <f t="array" ref="H29">IF($A29="","",_xlfn.XLOOKUP(1,(Table1[Line Item]=$A29)*(Table1[Fiscal Year]=VALUE(RIGHT(H$1,4))),Table1[Value],"Not found"))</f>
        <v>0.75</v>
      </c>
      <c r="I29" s="5" cm="1">
        <f t="array" ref="I29">IF($A29="","",_xlfn.XLOOKUP(1,(Table1[Line Item]=$A29)*(Table1[Fiscal Year]=VALUE(RIGHT(I$1,4))),Table1[Value],"Not found"))</f>
        <v>1.149</v>
      </c>
    </row>
    <row r="30" spans="1:9" ht="15.6" thickTop="1" thickBot="1" x14ac:dyDescent="0.35">
      <c r="A30" s="7" t="s">
        <v>54</v>
      </c>
      <c r="B30" s="5" t="str" cm="1">
        <f t="array" ref="B30">IF($A30="","",_xlfn.XLOOKUP(1,(Table1[Line Item]=$A30)*(Table1[Fiscal Year]=VALUE(RIGHT(B$1,4))),Table1[Value],"Not found"))</f>
        <v/>
      </c>
      <c r="C30" s="5" t="str" cm="1">
        <f t="array" ref="C30">IF($A30="","",_xlfn.XLOOKUP(1,(Table1[Line Item]=$A30)*(Table1[Fiscal Year]=VALUE(RIGHT(C$1,4))),Table1[Value],"Not found"))</f>
        <v/>
      </c>
      <c r="D30" s="5" t="str" cm="1">
        <f t="array" ref="D30">IF($A30="","",_xlfn.XLOOKUP(1,(Table1[Line Item]=$A30)*(Table1[Fiscal Year]=VALUE(RIGHT(D$1,4))),Table1[Value],"Not found"))</f>
        <v/>
      </c>
      <c r="E30" s="5" t="str" cm="1">
        <f t="array" ref="E30">IF($A30="","",_xlfn.XLOOKUP(1,(Table1[Line Item]=$A30)*(Table1[Fiscal Year]=VALUE(RIGHT(E$1,4))),Table1[Value],"Not found"))</f>
        <v/>
      </c>
      <c r="F30" s="5" t="str" cm="1">
        <f t="array" ref="F30">IF($A30="","",_xlfn.XLOOKUP(1,(Table1[Line Item]=$A30)*(Table1[Fiscal Year]=VALUE(RIGHT(F$1,4))),Table1[Value],"Not found"))</f>
        <v/>
      </c>
      <c r="G30" s="5" t="str" cm="1">
        <f t="array" ref="G30">IF($A30="","",_xlfn.XLOOKUP(1,(Table1[Line Item]=$A30)*(Table1[Fiscal Year]=VALUE(RIGHT(G$1,4))),Table1[Value],"Not found"))</f>
        <v/>
      </c>
      <c r="H30" s="5" t="str" cm="1">
        <f t="array" ref="H30">IF($A30="","",_xlfn.XLOOKUP(1,(Table1[Line Item]=$A30)*(Table1[Fiscal Year]=VALUE(RIGHT(H$1,4))),Table1[Value],"Not found"))</f>
        <v/>
      </c>
      <c r="I30" s="5" t="str" cm="1">
        <f t="array" ref="I30">IF($A30="","",_xlfn.XLOOKUP(1,(Table1[Line Item]=$A30)*(Table1[Fiscal Year]=VALUE(RIGHT(I$1,4))),Table1[Value],"Not found"))</f>
        <v/>
      </c>
    </row>
    <row r="31" spans="1:9" ht="15.6" thickTop="1" thickBot="1" x14ac:dyDescent="0.35">
      <c r="A31" s="6" t="s">
        <v>28</v>
      </c>
      <c r="B31" s="5" cm="1">
        <f t="array" ref="B31">IF($A31="","",_xlfn.XLOOKUP(1,(Table1[Line Item]=$A31)*(Table1[Fiscal Year]=VALUE(RIGHT(B$1,4))),Table1[Value],"Not found"))</f>
        <v>961</v>
      </c>
      <c r="C31" s="5" cm="1">
        <f t="array" ref="C31">IF($A31="","",_xlfn.XLOOKUP(1,(Table1[Line Item]=$A31)*(Table1[Fiscal Year]=VALUE(RIGHT(C$1,4))),Table1[Value],"Not found"))</f>
        <v>1387</v>
      </c>
      <c r="D31" s="5" cm="1">
        <f t="array" ref="D31">IF($A31="","",_xlfn.XLOOKUP(1,(Table1[Line Item]=$A31)*(Table1[Fiscal Year]=VALUE(RIGHT(D$1,4))),Table1[Value],"Not found"))</f>
        <v>1701</v>
      </c>
      <c r="E31" s="5" cm="1">
        <f t="array" ref="E31">IF($A31="","",_xlfn.XLOOKUP(1,(Table1[Line Item]=$A31)*(Table1[Fiscal Year]=VALUE(RIGHT(E$1,4))),Table1[Value],"Not found"))</f>
        <v>1864</v>
      </c>
      <c r="F31" s="5" cm="1">
        <f t="array" ref="F31">IF($A31="","",_xlfn.XLOOKUP(1,(Table1[Line Item]=$A31)*(Table1[Fiscal Year]=VALUE(RIGHT(F$1,4))),Table1[Value],"Not found"))</f>
        <v>423</v>
      </c>
      <c r="G31" s="5" cm="1">
        <f t="array" ref="G31">IF($A31="","",_xlfn.XLOOKUP(1,(Table1[Line Item]=$A31)*(Table1[Fiscal Year]=VALUE(RIGHT(G$1,4))),Table1[Value],"Not found"))</f>
        <v>1223</v>
      </c>
      <c r="H31" s="5" cm="1">
        <f t="array" ref="H31">IF($A31="","",_xlfn.XLOOKUP(1,(Table1[Line Item]=$A31)*(Table1[Fiscal Year]=VALUE(RIGHT(H$1,4))),Table1[Value],"Not found"))</f>
        <v>58</v>
      </c>
      <c r="I31" s="5" cm="1">
        <f t="array" ref="I31">IF($A31="","",_xlfn.XLOOKUP(1,(Table1[Line Item]=$A31)*(Table1[Fiscal Year]=VALUE(RIGHT(I$1,4))),Table1[Value],"Not found"))</f>
        <v>-26</v>
      </c>
    </row>
    <row r="32" spans="1:9" ht="15.6" thickTop="1" thickBot="1" x14ac:dyDescent="0.35">
      <c r="A32" s="7" t="s">
        <v>30</v>
      </c>
      <c r="B32" s="5" cm="1">
        <f t="array" ref="B32">IF($A32="","",_xlfn.XLOOKUP(1,(Table1[Line Item]=$A32)*(Table1[Fiscal Year]=VALUE(RIGHT(B$1,4))),Table1[Value],"Not found"))</f>
        <v>961</v>
      </c>
      <c r="C32" s="5" cm="1">
        <f t="array" ref="C32">IF($A32="","",_xlfn.XLOOKUP(1,(Table1[Line Item]=$A32)*(Table1[Fiscal Year]=VALUE(RIGHT(C$1,4))),Table1[Value],"Not found"))</f>
        <v>1387</v>
      </c>
      <c r="D32" s="5" cm="1">
        <f t="array" ref="D32">IF($A32="","",_xlfn.XLOOKUP(1,(Table1[Line Item]=$A32)*(Table1[Fiscal Year]=VALUE(RIGHT(D$1,4))),Table1[Value],"Not found"))</f>
        <v>1701</v>
      </c>
      <c r="E32" s="5" cm="1">
        <f t="array" ref="E32">IF($A32="","",_xlfn.XLOOKUP(1,(Table1[Line Item]=$A32)*(Table1[Fiscal Year]=VALUE(RIGHT(E$1,4))),Table1[Value],"Not found"))</f>
        <v>1864</v>
      </c>
      <c r="F32" s="5" cm="1">
        <f t="array" ref="F32">IF($A32="","",_xlfn.XLOOKUP(1,(Table1[Line Item]=$A32)*(Table1[Fiscal Year]=VALUE(RIGHT(F$1,4))),Table1[Value],"Not found"))</f>
        <v>353</v>
      </c>
      <c r="G32" s="5" cm="1">
        <f t="array" ref="G32">IF($A32="","",_xlfn.XLOOKUP(1,(Table1[Line Item]=$A32)*(Table1[Fiscal Year]=VALUE(RIGHT(G$1,4))),Table1[Value],"Not found"))</f>
        <v>1455</v>
      </c>
      <c r="H32" s="5" cm="1">
        <f t="array" ref="H32">IF($A32="","",_xlfn.XLOOKUP(1,(Table1[Line Item]=$A32)*(Table1[Fiscal Year]=VALUE(RIGHT(H$1,4))),Table1[Value],"Not found"))</f>
        <v>58</v>
      </c>
      <c r="I32" s="5" cm="1">
        <f t="array" ref="I32">IF($A32="","",_xlfn.XLOOKUP(1,(Table1[Line Item]=$A32)*(Table1[Fiscal Year]=VALUE(RIGHT(I$1,4))),Table1[Value],"Not found"))</f>
        <v>-26</v>
      </c>
    </row>
    <row r="33" spans="1:9" ht="15.6" thickTop="1" thickBot="1" x14ac:dyDescent="0.35">
      <c r="A33" s="6" t="s">
        <v>31</v>
      </c>
      <c r="B33" s="5" cm="1">
        <f t="array" ref="B33">IF($A33="","",_xlfn.XLOOKUP(1,(Table1[Line Item]=$A33)*(Table1[Fiscal Year]=VALUE(RIGHT(B$1,4))),Table1[Value],"Not found"))</f>
        <v>-12</v>
      </c>
      <c r="C33" s="5" cm="1">
        <f t="array" ref="C33">IF($A33="","",_xlfn.XLOOKUP(1,(Table1[Line Item]=$A33)*(Table1[Fiscal Year]=VALUE(RIGHT(C$1,4))),Table1[Value],"Not found"))</f>
        <v>-14</v>
      </c>
      <c r="D33" s="5" cm="1">
        <f t="array" ref="D33">IF($A33="","",_xlfn.XLOOKUP(1,(Table1[Line Item]=$A33)*(Table1[Fiscal Year]=VALUE(RIGHT(D$1,4))),Table1[Value],"Not found"))</f>
        <v>-11</v>
      </c>
      <c r="E33" s="5" cm="1">
        <f t="array" ref="E33">IF($A33="","",_xlfn.XLOOKUP(1,(Table1[Line Item]=$A33)*(Table1[Fiscal Year]=VALUE(RIGHT(E$1,4))),Table1[Value],"Not found"))</f>
        <v>-9</v>
      </c>
      <c r="F33" s="5" cm="1">
        <f t="array" ref="F33">IF($A33="","",_xlfn.XLOOKUP(1,(Table1[Line Item]=$A33)*(Table1[Fiscal Year]=VALUE(RIGHT(F$1,4))),Table1[Value],"Not found"))</f>
        <v>-6</v>
      </c>
      <c r="G33" s="5" cm="1">
        <f t="array" ref="G33">IF($A33="","",_xlfn.XLOOKUP(1,(Table1[Line Item]=$A33)*(Table1[Fiscal Year]=VALUE(RIGHT(G$1,4))),Table1[Value],"Not found"))</f>
        <v>-8</v>
      </c>
      <c r="H33" s="5" cm="1">
        <f t="array" ref="H33">IF($A33="","",_xlfn.XLOOKUP(1,(Table1[Line Item]=$A33)*(Table1[Fiscal Year]=VALUE(RIGHT(H$1,4))),Table1[Value],"Not found"))</f>
        <v>-8</v>
      </c>
      <c r="I33" s="5" cm="1">
        <f t="array" ref="I33">IF($A33="","",_xlfn.XLOOKUP(1,(Table1[Line Item]=$A33)*(Table1[Fiscal Year]=VALUE(RIGHT(I$1,4))),Table1[Value],"Not found"))</f>
        <v>-7</v>
      </c>
    </row>
    <row r="34" spans="1:9" ht="15.6" thickTop="1" thickBot="1" x14ac:dyDescent="0.35">
      <c r="A34" s="7" t="s">
        <v>32</v>
      </c>
      <c r="B34" s="5" cm="1">
        <f t="array" ref="B34">IF($A34="","",_xlfn.XLOOKUP(1,(Table1[Line Item]=$A34)*(Table1[Fiscal Year]=VALUE(RIGHT(B$1,4))),Table1[Value],"Not found"))</f>
        <v>949</v>
      </c>
      <c r="C34" s="5" cm="1">
        <f t="array" ref="C34">IF($A34="","",_xlfn.XLOOKUP(1,(Table1[Line Item]=$A34)*(Table1[Fiscal Year]=VALUE(RIGHT(C$1,4))),Table1[Value],"Not found"))</f>
        <v>1373</v>
      </c>
      <c r="D34" s="5" cm="1">
        <f t="array" ref="D34">IF($A34="","",_xlfn.XLOOKUP(1,(Table1[Line Item]=$A34)*(Table1[Fiscal Year]=VALUE(RIGHT(D$1,4))),Table1[Value],"Not found"))</f>
        <v>1690</v>
      </c>
      <c r="E34" s="5" cm="1">
        <f t="array" ref="E34">IF($A34="","",_xlfn.XLOOKUP(1,(Table1[Line Item]=$A34)*(Table1[Fiscal Year]=VALUE(RIGHT(E$1,4))),Table1[Value],"Not found"))</f>
        <v>1855</v>
      </c>
      <c r="F34" s="5" cm="1">
        <f t="array" ref="F34">IF($A34="","",_xlfn.XLOOKUP(1,(Table1[Line Item]=$A34)*(Table1[Fiscal Year]=VALUE(RIGHT(F$1,4))),Table1[Value],"Not found"))</f>
        <v>347</v>
      </c>
      <c r="G34" s="5" cm="1">
        <f t="array" ref="G34">IF($A34="","",_xlfn.XLOOKUP(1,(Table1[Line Item]=$A34)*(Table1[Fiscal Year]=VALUE(RIGHT(G$1,4))),Table1[Value],"Not found"))</f>
        <v>1447</v>
      </c>
      <c r="H34" s="5" cm="1">
        <f t="array" ref="H34">IF($A34="","",_xlfn.XLOOKUP(1,(Table1[Line Item]=$A34)*(Table1[Fiscal Year]=VALUE(RIGHT(H$1,4))),Table1[Value],"Not found"))</f>
        <v>50</v>
      </c>
      <c r="I34" s="5" cm="1">
        <f t="array" ref="I34">IF($A34="","",_xlfn.XLOOKUP(1,(Table1[Line Item]=$A34)*(Table1[Fiscal Year]=VALUE(RIGHT(I$1,4))),Table1[Value],"Not found"))</f>
        <v>-33</v>
      </c>
    </row>
    <row r="35" spans="1:9" ht="15.6" thickTop="1" thickBot="1" x14ac:dyDescent="0.35">
      <c r="A35" s="6" t="s">
        <v>54</v>
      </c>
      <c r="B35" s="5" t="str" cm="1">
        <f t="array" ref="B35">IF($A35="","",_xlfn.XLOOKUP(1,(Table1[Line Item]=$A35)*(Table1[Fiscal Year]=VALUE(RIGHT(B$1,4))),Table1[Value],"Not found"))</f>
        <v/>
      </c>
      <c r="C35" s="5" t="str" cm="1">
        <f t="array" ref="C35">IF($A35="","",_xlfn.XLOOKUP(1,(Table1[Line Item]=$A35)*(Table1[Fiscal Year]=VALUE(RIGHT(C$1,4))),Table1[Value],"Not found"))</f>
        <v/>
      </c>
      <c r="D35" s="5" t="str" cm="1">
        <f t="array" ref="D35">IF($A35="","",_xlfn.XLOOKUP(1,(Table1[Line Item]=$A35)*(Table1[Fiscal Year]=VALUE(RIGHT(D$1,4))),Table1[Value],"Not found"))</f>
        <v/>
      </c>
      <c r="E35" s="5" t="str" cm="1">
        <f t="array" ref="E35">IF($A35="","",_xlfn.XLOOKUP(1,(Table1[Line Item]=$A35)*(Table1[Fiscal Year]=VALUE(RIGHT(E$1,4))),Table1[Value],"Not found"))</f>
        <v/>
      </c>
      <c r="F35" s="5" t="str" cm="1">
        <f t="array" ref="F35">IF($A35="","",_xlfn.XLOOKUP(1,(Table1[Line Item]=$A35)*(Table1[Fiscal Year]=VALUE(RIGHT(F$1,4))),Table1[Value],"Not found"))</f>
        <v/>
      </c>
      <c r="G35" s="5" t="str" cm="1">
        <f t="array" ref="G35">IF($A35="","",_xlfn.XLOOKUP(1,(Table1[Line Item]=$A35)*(Table1[Fiscal Year]=VALUE(RIGHT(G$1,4))),Table1[Value],"Not found"))</f>
        <v/>
      </c>
      <c r="H35" s="5" t="str" cm="1">
        <f t="array" ref="H35">IF($A35="","",_xlfn.XLOOKUP(1,(Table1[Line Item]=$A35)*(Table1[Fiscal Year]=VALUE(RIGHT(H$1,4))),Table1[Value],"Not found"))</f>
        <v/>
      </c>
      <c r="I35" s="5" t="str" cm="1">
        <f t="array" ref="I35">IF($A35="","",_xlfn.XLOOKUP(1,(Table1[Line Item]=$A35)*(Table1[Fiscal Year]=VALUE(RIGHT(I$1,4))),Table1[Value],"Not found"))</f>
        <v/>
      </c>
    </row>
    <row r="36" spans="1:9" ht="15.6" thickTop="1" thickBot="1" x14ac:dyDescent="0.35">
      <c r="A36" s="7" t="s">
        <v>33</v>
      </c>
      <c r="B36" s="5" cm="1">
        <f t="array" ref="B36">IF($A36="","",_xlfn.XLOOKUP(1,(Table1[Line Item]=$A36)*(Table1[Fiscal Year]=VALUE(RIGHT(B$1,4))),Table1[Value],"Not found"))</f>
        <v>4.72</v>
      </c>
      <c r="C36" s="5" cm="1">
        <f t="array" ref="C36">IF($A36="","",_xlfn.XLOOKUP(1,(Table1[Line Item]=$A36)*(Table1[Fiscal Year]=VALUE(RIGHT(C$1,4))),Table1[Value],"Not found"))</f>
        <v>6.78</v>
      </c>
      <c r="D36" s="5" cm="1">
        <f t="array" ref="D36">IF($A36="","",_xlfn.XLOOKUP(1,(Table1[Line Item]=$A36)*(Table1[Fiscal Year]=VALUE(RIGHT(D$1,4))),Table1[Value],"Not found"))</f>
        <v>8.4499999999999993</v>
      </c>
      <c r="E36" s="5" cm="1">
        <f t="array" ref="E36">IF($A36="","",_xlfn.XLOOKUP(1,(Table1[Line Item]=$A36)*(Table1[Fiscal Year]=VALUE(RIGHT(E$1,4))),Table1[Value],"Not found"))</f>
        <v>9.48</v>
      </c>
      <c r="F36" s="5" cm="1">
        <f t="array" ref="F36">IF($A36="","",_xlfn.XLOOKUP(1,(Table1[Line Item]=$A36)*(Table1[Fiscal Year]=VALUE(RIGHT(F$1,4))),Table1[Value],"Not found"))</f>
        <v>1.79</v>
      </c>
      <c r="G36" s="5" cm="1">
        <f t="array" ref="G36">IF($A36="","",_xlfn.XLOOKUP(1,(Table1[Line Item]=$A36)*(Table1[Fiscal Year]=VALUE(RIGHT(G$1,4))),Table1[Value],"Not found"))</f>
        <v>7.39</v>
      </c>
      <c r="H36" s="5" cm="1">
        <f t="array" ref="H36">IF($A36="","",_xlfn.XLOOKUP(1,(Table1[Line Item]=$A36)*(Table1[Fiscal Year]=VALUE(RIGHT(H$1,4))),Table1[Value],"Not found"))</f>
        <v>0.27</v>
      </c>
      <c r="I36" s="5" cm="1">
        <f t="array" ref="I36">IF($A36="","",_xlfn.XLOOKUP(1,(Table1[Line Item]=$A36)*(Table1[Fiscal Year]=VALUE(RIGHT(I$1,4))),Table1[Value],"Not found"))</f>
        <v>-0.18</v>
      </c>
    </row>
    <row r="37" spans="1:9" ht="15.6" thickTop="1" thickBot="1" x14ac:dyDescent="0.35">
      <c r="A37" s="6" t="s">
        <v>34</v>
      </c>
      <c r="B37" s="5" cm="1">
        <f t="array" ref="B37">IF($A37="","",_xlfn.XLOOKUP(1,(Table1[Line Item]=$A37)*(Table1[Fiscal Year]=VALUE(RIGHT(B$1,4))),Table1[Value],"Not found"))</f>
        <v>4.7</v>
      </c>
      <c r="C37" s="5" cm="1">
        <f t="array" ref="C37">IF($A37="","",_xlfn.XLOOKUP(1,(Table1[Line Item]=$A37)*(Table1[Fiscal Year]=VALUE(RIGHT(C$1,4))),Table1[Value],"Not found"))</f>
        <v>6.75</v>
      </c>
      <c r="D37" s="5" cm="1">
        <f t="array" ref="D37">IF($A37="","",_xlfn.XLOOKUP(1,(Table1[Line Item]=$A37)*(Table1[Fiscal Year]=VALUE(RIGHT(D$1,4))),Table1[Value],"Not found"))</f>
        <v>8.42</v>
      </c>
      <c r="E37" s="5" cm="1">
        <f t="array" ref="E37">IF($A37="","",_xlfn.XLOOKUP(1,(Table1[Line Item]=$A37)*(Table1[Fiscal Year]=VALUE(RIGHT(E$1,4))),Table1[Value],"Not found"))</f>
        <v>9.44</v>
      </c>
      <c r="F37" s="5" cm="1">
        <f t="array" ref="F37">IF($A37="","",_xlfn.XLOOKUP(1,(Table1[Line Item]=$A37)*(Table1[Fiscal Year]=VALUE(RIGHT(F$1,4))),Table1[Value],"Not found"))</f>
        <v>1.78</v>
      </c>
      <c r="G37" s="5" cm="1">
        <f t="array" ref="G37">IF($A37="","",_xlfn.XLOOKUP(1,(Table1[Line Item]=$A37)*(Table1[Fiscal Year]=VALUE(RIGHT(G$1,4))),Table1[Value],"Not found"))</f>
        <v>7.36</v>
      </c>
      <c r="H37" s="5" cm="1">
        <f t="array" ref="H37">IF($A37="","",_xlfn.XLOOKUP(1,(Table1[Line Item]=$A37)*(Table1[Fiscal Year]=VALUE(RIGHT(H$1,4))),Table1[Value],"Not found"))</f>
        <v>0.27</v>
      </c>
      <c r="I37" s="5" cm="1">
        <f t="array" ref="I37">IF($A37="","",_xlfn.XLOOKUP(1,(Table1[Line Item]=$A37)*(Table1[Fiscal Year]=VALUE(RIGHT(I$1,4))),Table1[Value],"Not found"))</f>
        <v>-0.18</v>
      </c>
    </row>
    <row r="38" spans="1:9" ht="15.6" thickTop="1" thickBot="1" x14ac:dyDescent="0.35">
      <c r="A38" s="7" t="s">
        <v>35</v>
      </c>
      <c r="B38" s="5" cm="1">
        <f t="array" ref="B38">IF($A38="","",_xlfn.XLOOKUP(1,(Table1[Line Item]=$A38)*(Table1[Fiscal Year]=VALUE(RIGHT(B$1,4))),Table1[Value],"Not found"))</f>
        <v>201</v>
      </c>
      <c r="C38" s="5" cm="1">
        <f t="array" ref="C38">IF($A38="","",_xlfn.XLOOKUP(1,(Table1[Line Item]=$A38)*(Table1[Fiscal Year]=VALUE(RIGHT(C$1,4))),Table1[Value],"Not found"))</f>
        <v>202.5</v>
      </c>
      <c r="D38" s="5" cm="1">
        <f t="array" ref="D38">IF($A38="","",_xlfn.XLOOKUP(1,(Table1[Line Item]=$A38)*(Table1[Fiscal Year]=VALUE(RIGHT(D$1,4))),Table1[Value],"Not found"))</f>
        <v>200</v>
      </c>
      <c r="E38" s="5" cm="1">
        <f t="array" ref="E38">IF($A38="","",_xlfn.XLOOKUP(1,(Table1[Line Item]=$A38)*(Table1[Fiscal Year]=VALUE(RIGHT(E$1,4))),Table1[Value],"Not found"))</f>
        <v>195.7</v>
      </c>
      <c r="F38" s="5" cm="1">
        <f t="array" ref="F38">IF($A38="","",_xlfn.XLOOKUP(1,(Table1[Line Item]=$A38)*(Table1[Fiscal Year]=VALUE(RIGHT(F$1,4))),Table1[Value],"Not found"))</f>
        <v>194.3</v>
      </c>
      <c r="G38" s="5" cm="1">
        <f t="array" ref="G38">IF($A38="","",_xlfn.XLOOKUP(1,(Table1[Line Item]=$A38)*(Table1[Fiscal Year]=VALUE(RIGHT(G$1,4))),Table1[Value],"Not found"))</f>
        <v>195.8</v>
      </c>
      <c r="H38" s="5" cm="1">
        <f t="array" ref="H38">IF($A38="","",_xlfn.XLOOKUP(1,(Table1[Line Item]=$A38)*(Table1[Fiscal Year]=VALUE(RIGHT(H$1,4))),Table1[Value],"Not found"))</f>
        <v>183.5</v>
      </c>
      <c r="I38" s="5" cm="1">
        <f t="array" ref="I38">IF($A38="","",_xlfn.XLOOKUP(1,(Table1[Line Item]=$A38)*(Table1[Fiscal Year]=VALUE(RIGHT(I$1,4))),Table1[Value],"Not found"))</f>
        <v>178.6</v>
      </c>
    </row>
    <row r="39" spans="1:9" ht="15.6" thickTop="1" thickBot="1" x14ac:dyDescent="0.35">
      <c r="A39" s="6" t="s">
        <v>36</v>
      </c>
      <c r="B39" s="5" cm="1">
        <f t="array" ref="B39">IF($A39="","",_xlfn.XLOOKUP(1,(Table1[Line Item]=$A39)*(Table1[Fiscal Year]=VALUE(RIGHT(B$1,4))),Table1[Value],"Not found"))</f>
        <v>201.8</v>
      </c>
      <c r="C39" s="5" cm="1">
        <f t="array" ref="C39">IF($A39="","",_xlfn.XLOOKUP(1,(Table1[Line Item]=$A39)*(Table1[Fiscal Year]=VALUE(RIGHT(C$1,4))),Table1[Value],"Not found"))</f>
        <v>203.3</v>
      </c>
      <c r="D39" s="5" cm="1">
        <f t="array" ref="D39">IF($A39="","",_xlfn.XLOOKUP(1,(Table1[Line Item]=$A39)*(Table1[Fiscal Year]=VALUE(RIGHT(D$1,4))),Table1[Value],"Not found"))</f>
        <v>200.8</v>
      </c>
      <c r="E39" s="5" cm="1">
        <f t="array" ref="E39">IF($A39="","",_xlfn.XLOOKUP(1,(Table1[Line Item]=$A39)*(Table1[Fiscal Year]=VALUE(RIGHT(E$1,4))),Table1[Value],"Not found"))</f>
        <v>196.5</v>
      </c>
      <c r="F39" s="5" cm="1">
        <f t="array" ref="F39">IF($A39="","",_xlfn.XLOOKUP(1,(Table1[Line Item]=$A39)*(Table1[Fiscal Year]=VALUE(RIGHT(F$1,4))),Table1[Value],"Not found"))</f>
        <v>195.1</v>
      </c>
      <c r="G39" s="5" cm="1">
        <f t="array" ref="G39">IF($A39="","",_xlfn.XLOOKUP(1,(Table1[Line Item]=$A39)*(Table1[Fiscal Year]=VALUE(RIGHT(G$1,4))),Table1[Value],"Not found"))</f>
        <v>196.6</v>
      </c>
      <c r="H39" s="5" cm="1">
        <f t="array" ref="H39">IF($A39="","",_xlfn.XLOOKUP(1,(Table1[Line Item]=$A39)*(Table1[Fiscal Year]=VALUE(RIGHT(H$1,4))),Table1[Value],"Not found"))</f>
        <v>184.2</v>
      </c>
      <c r="I39" s="5" cm="1">
        <f t="array" ref="I39">IF($A39="","",_xlfn.XLOOKUP(1,(Table1[Line Item]=$A39)*(Table1[Fiscal Year]=VALUE(RIGHT(I$1,4))),Table1[Value],"Not found"))</f>
        <v>179.3</v>
      </c>
    </row>
    <row r="40" spans="1:9" ht="15" thickTop="1" x14ac:dyDescent="0.3">
      <c r="A40" s="7" t="s">
        <v>37</v>
      </c>
      <c r="B40" s="5" cm="1">
        <f t="array" ref="B40">IF($A40="","",_xlfn.XLOOKUP(1,(Table1[Line Item]=$A40)*(Table1[Fiscal Year]=VALUE(RIGHT(B$1,4))),Table1[Value],"Not found"))</f>
        <v>2</v>
      </c>
      <c r="C40" s="5" cm="1">
        <f t="array" ref="C40">IF($A40="","",_xlfn.XLOOKUP(1,(Table1[Line Item]=$A40)*(Table1[Fiscal Year]=VALUE(RIGHT(C$1,4))),Table1[Value],"Not found"))</f>
        <v>2.6</v>
      </c>
      <c r="D40" s="5" cm="1">
        <f t="array" ref="D40">IF($A40="","",_xlfn.XLOOKUP(1,(Table1[Line Item]=$A40)*(Table1[Fiscal Year]=VALUE(RIGHT(D$1,4))),Table1[Value],"Not found"))</f>
        <v>3.35</v>
      </c>
      <c r="E40" s="5" cm="1">
        <f t="array" ref="E40">IF($A40="","",_xlfn.XLOOKUP(1,(Table1[Line Item]=$A40)*(Table1[Fiscal Year]=VALUE(RIGHT(E$1,4))),Table1[Value],"Not found"))</f>
        <v>3.85</v>
      </c>
      <c r="F40" s="5" cm="1">
        <f t="array" ref="F40">IF($A40="","",_xlfn.XLOOKUP(1,(Table1[Line Item]=$A40)*(Table1[Fiscal Year]=VALUE(RIGHT(F$1,4))),Table1[Value],"Not found"))</f>
        <v>0</v>
      </c>
      <c r="G40" s="5" cm="1">
        <f t="array" ref="G40">IF($A40="","",_xlfn.XLOOKUP(1,(Table1[Line Item]=$A40)*(Table1[Fiscal Year]=VALUE(RIGHT(G$1,4))),Table1[Value],"Not found"))</f>
        <v>3.3</v>
      </c>
      <c r="H40" s="5" cm="1">
        <f t="array" ref="H40">IF($A40="","",_xlfn.XLOOKUP(1,(Table1[Line Item]=$A40)*(Table1[Fiscal Year]=VALUE(RIGHT(H$1,4))),Table1[Value],"Not found"))</f>
        <v>0.7</v>
      </c>
      <c r="I40" s="5" cm="1">
        <f t="array" ref="I40">IF($A40="","",_xlfn.XLOOKUP(1,(Table1[Line Item]=$A40)*(Table1[Fiscal Year]=VALUE(RIGHT(I$1,4))),Table1[Value],"Not found"))</f>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B270-28BA-4E8B-A729-6A8E6A9C237E}">
  <sheetPr>
    <tabColor rgb="FFFF0000"/>
  </sheetPr>
  <dimension ref="A1:J24"/>
  <sheetViews>
    <sheetView workbookViewId="0">
      <selection activeCell="C2" sqref="C2"/>
    </sheetView>
  </sheetViews>
  <sheetFormatPr defaultRowHeight="14.4" x14ac:dyDescent="0.3"/>
  <cols>
    <col min="1" max="1" width="40.5546875" customWidth="1"/>
    <col min="2" max="2" width="21.88671875" customWidth="1"/>
    <col min="3" max="3" width="20.109375" customWidth="1"/>
    <col min="4" max="5" width="21.109375" customWidth="1"/>
    <col min="6" max="6" width="19.109375" customWidth="1"/>
    <col min="7" max="7" width="16.88671875" customWidth="1"/>
    <col min="8" max="8" width="16.44140625" customWidth="1"/>
    <col min="9" max="9" width="19.6640625" customWidth="1"/>
  </cols>
  <sheetData>
    <row r="1" spans="1:10" x14ac:dyDescent="0.3">
      <c r="A1" s="9" t="s">
        <v>1</v>
      </c>
      <c r="B1" s="9" t="s">
        <v>46</v>
      </c>
      <c r="C1" s="9" t="s">
        <v>47</v>
      </c>
      <c r="D1" s="9" t="s">
        <v>48</v>
      </c>
      <c r="E1" s="9" t="s">
        <v>49</v>
      </c>
      <c r="F1" s="9" t="s">
        <v>50</v>
      </c>
      <c r="G1" s="9" t="s">
        <v>51</v>
      </c>
      <c r="H1" s="9" t="s">
        <v>52</v>
      </c>
      <c r="I1" s="9" t="s">
        <v>53</v>
      </c>
      <c r="J1" s="9"/>
    </row>
    <row r="2" spans="1:10" ht="15" x14ac:dyDescent="0.35">
      <c r="A2" s="9" t="s">
        <v>56</v>
      </c>
      <c r="B2" s="10" t="s">
        <v>55</v>
      </c>
      <c r="C2" s="11">
        <f>('MASTER P&amp;L'!C$6-'MASTER P&amp;L'!B$6)/'MASTER P&amp;L'!B$6</f>
        <v>0.14797381377482011</v>
      </c>
      <c r="D2" s="11">
        <f>('MASTER P&amp;L'!D$6-'MASTER P&amp;L'!C$6)/'MASTER P&amp;L'!C$6</f>
        <v>3.2849467433311338E-2</v>
      </c>
      <c r="E2" s="11">
        <f>('MASTER P&amp;L'!E$6-'MASTER P&amp;L'!D$6)/'MASTER P&amp;L'!D$6</f>
        <v>7.8713210130047909E-2</v>
      </c>
      <c r="F2" s="11">
        <f>('MASTER P&amp;L'!F$6-'MASTER P&amp;L'!E$6)/'MASTER P&amp;L'!E$6</f>
        <v>-0.16057529610829102</v>
      </c>
      <c r="G2" s="11">
        <f>('MASTER P&amp;L'!G$6-'MASTER P&amp;L'!F$6)/'MASTER P&amp;L'!F$6</f>
        <v>7.0046361620640998E-2</v>
      </c>
      <c r="H2" s="11">
        <f>('MASTER P&amp;L'!H$6-'MASTER P&amp;L'!G$6)/'MASTER P&amp;L'!G$6</f>
        <v>6.0139399076952059E-2</v>
      </c>
      <c r="I2" s="11">
        <f>('MASTER P&amp;L'!I$6-'MASTER P&amp;L'!H$6)/'MASTER P&amp;L'!H$6</f>
        <v>-4.8154235706987694E-2</v>
      </c>
    </row>
    <row r="3" spans="1:10" ht="15" x14ac:dyDescent="0.35">
      <c r="A3" s="9" t="s">
        <v>57</v>
      </c>
      <c r="B3" s="10" t="s">
        <v>55</v>
      </c>
      <c r="C3" s="11">
        <f>('MASTER P&amp;L'!C$10-'MASTER P&amp;L'!B$10)/'MASTER P&amp;L'!B$10</f>
        <v>0.19047088945786486</v>
      </c>
      <c r="D3" s="11">
        <f>('MASTER P&amp;L'!D$10-'MASTER P&amp;L'!C$10)/'MASTER P&amp;L'!C$10</f>
        <v>5.7415373106414813E-2</v>
      </c>
      <c r="E3" s="11">
        <f>('MASTER P&amp;L'!E$10-'MASTER P&amp;L'!D$10)/'MASTER P&amp;L'!D$10</f>
        <v>8.7106473293243725E-2</v>
      </c>
      <c r="F3" s="11">
        <f>('MASTER P&amp;L'!F$10-'MASTER P&amp;L'!E$10)/'MASTER P&amp;L'!E$10</f>
        <v>-0.19775481981615553</v>
      </c>
      <c r="G3" s="11">
        <f>('MASTER P&amp;L'!G$10-'MASTER P&amp;L'!F$10)/'MASTER P&amp;L'!F$10</f>
        <v>8.7304806327316978E-2</v>
      </c>
      <c r="H3" s="11">
        <f>('MASTER P&amp;L'!H$10-'MASTER P&amp;L'!G$10)/'MASTER P&amp;L'!G$10</f>
        <v>-6.9943112934813022E-3</v>
      </c>
      <c r="I3" s="11">
        <f>('MASTER P&amp;L'!I$10-'MASTER P&amp;L'!H$10)/'MASTER P&amp;L'!H$10</f>
        <v>-4.4139744552967694E-2</v>
      </c>
    </row>
    <row r="4" spans="1:10" ht="15" x14ac:dyDescent="0.35">
      <c r="A4" s="9" t="s">
        <v>58</v>
      </c>
      <c r="B4" s="10" t="s">
        <v>55</v>
      </c>
      <c r="C4" s="11">
        <f>('MASTER P&amp;L'!C$22-'MASTER P&amp;L'!B$22)/'MASTER P&amp;L'!B$22</f>
        <v>0.41080312722103768</v>
      </c>
      <c r="D4" s="11">
        <f>('MASTER P&amp;L'!D$22-'MASTER P&amp;L'!C$22)/'MASTER P&amp;L'!C$22</f>
        <v>0.18942065491183879</v>
      </c>
      <c r="E4" s="11">
        <f>('MASTER P&amp;L'!E$22-'MASTER P&amp;L'!D$22)/'MASTER P&amp;L'!D$22</f>
        <v>0.10969927996611606</v>
      </c>
      <c r="F4" s="11">
        <f>('MASTER P&amp;L'!F$22-'MASTER P&amp;L'!E$22)/'MASTER P&amp;L'!E$22</f>
        <v>-0.69351145038167938</v>
      </c>
      <c r="G4" s="11">
        <f>('MASTER P&amp;L'!G$22-'MASTER P&amp;L'!F$22)/'MASTER P&amp;L'!F$22</f>
        <v>1.2914072229140723</v>
      </c>
      <c r="H4" s="11">
        <f>('MASTER P&amp;L'!H$22-'MASTER P&amp;L'!G$22)/'MASTER P&amp;L'!G$22</f>
        <v>-0.78967391304347823</v>
      </c>
      <c r="I4" s="11">
        <f>('MASTER P&amp;L'!I$22-'MASTER P&amp;L'!H$22)/'MASTER P&amp;L'!H$22</f>
        <v>-8.2687338501291993E-2</v>
      </c>
    </row>
    <row r="5" spans="1:10" ht="15" x14ac:dyDescent="0.35">
      <c r="A5" s="9" t="s">
        <v>59</v>
      </c>
      <c r="B5" s="10" t="s">
        <v>55</v>
      </c>
      <c r="C5" s="11">
        <f>('MASTER P&amp;L'!C$32-'MASTER P&amp;L'!B$32)/'MASTER P&amp;L'!B$32</f>
        <v>0.44328824141519252</v>
      </c>
      <c r="D5" s="11">
        <f>('MASTER P&amp;L'!D$32-'MASTER P&amp;L'!C$32)/'MASTER P&amp;L'!C$32</f>
        <v>0.22638788752703676</v>
      </c>
      <c r="E5" s="11">
        <f>('MASTER P&amp;L'!E$32-'MASTER P&amp;L'!D$32)/'MASTER P&amp;L'!D$32</f>
        <v>9.5825984714873608E-2</v>
      </c>
      <c r="F5" s="11">
        <f>('MASTER P&amp;L'!F$32-'MASTER P&amp;L'!E$32)/'MASTER P&amp;L'!E$32</f>
        <v>-0.81062231759656656</v>
      </c>
      <c r="G5" s="11">
        <f>('MASTER P&amp;L'!G$32-'MASTER P&amp;L'!F$32)/'MASTER P&amp;L'!F$32</f>
        <v>3.1218130311614729</v>
      </c>
      <c r="H5" s="11">
        <f>('MASTER P&amp;L'!H$32-'MASTER P&amp;L'!G$32)/'MASTER P&amp;L'!G$32</f>
        <v>-0.96013745704467357</v>
      </c>
      <c r="I5" s="11">
        <f>('MASTER P&amp;L'!I$32-'MASTER P&amp;L'!H$32)/'MASTER P&amp;L'!H$32</f>
        <v>-1.4482758620689655</v>
      </c>
    </row>
    <row r="6" spans="1:10" ht="15" x14ac:dyDescent="0.35">
      <c r="I6" s="8"/>
    </row>
    <row r="7" spans="1:10" ht="15" x14ac:dyDescent="0.35">
      <c r="I7" s="8"/>
    </row>
    <row r="13" spans="1:10" x14ac:dyDescent="0.3">
      <c r="A13" s="21" t="s">
        <v>61</v>
      </c>
      <c r="B13" s="21"/>
    </row>
    <row r="14" spans="1:10" x14ac:dyDescent="0.3">
      <c r="A14" s="21" t="s">
        <v>60</v>
      </c>
      <c r="B14" s="21"/>
    </row>
    <row r="15" spans="1:10" x14ac:dyDescent="0.3">
      <c r="A15" s="21"/>
      <c r="B15" s="21"/>
    </row>
    <row r="16" spans="1:10" x14ac:dyDescent="0.3">
      <c r="A16" s="21" t="s">
        <v>62</v>
      </c>
      <c r="B16" s="21"/>
    </row>
    <row r="17" spans="1:2" x14ac:dyDescent="0.3">
      <c r="A17" s="21" t="s">
        <v>63</v>
      </c>
      <c r="B17" s="21"/>
    </row>
    <row r="18" spans="1:2" x14ac:dyDescent="0.3">
      <c r="A18" s="21"/>
      <c r="B18" s="21"/>
    </row>
    <row r="19" spans="1:2" x14ac:dyDescent="0.3">
      <c r="A19" s="21" t="s">
        <v>64</v>
      </c>
      <c r="B19" s="21"/>
    </row>
    <row r="20" spans="1:2" x14ac:dyDescent="0.3">
      <c r="A20" s="21" t="s">
        <v>65</v>
      </c>
      <c r="B20" s="21"/>
    </row>
    <row r="21" spans="1:2" x14ac:dyDescent="0.3">
      <c r="A21" s="21"/>
      <c r="B21" s="21"/>
    </row>
    <row r="22" spans="1:2" x14ac:dyDescent="0.3">
      <c r="A22" s="21" t="s">
        <v>66</v>
      </c>
      <c r="B22" s="21"/>
    </row>
    <row r="23" spans="1:2" x14ac:dyDescent="0.3">
      <c r="A23" s="21" t="s">
        <v>67</v>
      </c>
      <c r="B23" s="21"/>
    </row>
    <row r="24" spans="1:2" x14ac:dyDescent="0.3">
      <c r="A24" s="21"/>
      <c r="B24" s="2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E52F-A351-4738-ABAB-CC88A0629B49}">
  <dimension ref="A1:R18"/>
  <sheetViews>
    <sheetView showGridLines="0" workbookViewId="0">
      <selection activeCell="J1" sqref="J1:K1"/>
    </sheetView>
  </sheetViews>
  <sheetFormatPr defaultRowHeight="14.4" x14ac:dyDescent="0.3"/>
  <cols>
    <col min="1" max="1" width="10.21875" customWidth="1"/>
  </cols>
  <sheetData>
    <row r="1" spans="1:18" ht="40.200000000000003" customHeight="1" x14ac:dyDescent="0.3">
      <c r="A1" s="95" t="s">
        <v>68</v>
      </c>
      <c r="B1" s="95"/>
      <c r="C1" s="95"/>
      <c r="D1" s="95"/>
      <c r="E1" s="95"/>
      <c r="F1" s="95"/>
      <c r="J1" s="93" t="s">
        <v>76</v>
      </c>
      <c r="K1" s="93"/>
    </row>
    <row r="2" spans="1:18" x14ac:dyDescent="0.3">
      <c r="J2" t="s">
        <v>77</v>
      </c>
      <c r="O2" s="24" t="s">
        <v>80</v>
      </c>
      <c r="P2" s="24" t="s">
        <v>46</v>
      </c>
      <c r="Q2" s="24" t="s">
        <v>53</v>
      </c>
      <c r="R2" s="24" t="s">
        <v>81</v>
      </c>
    </row>
    <row r="3" spans="1:18" x14ac:dyDescent="0.3">
      <c r="O3" s="24" t="s">
        <v>40</v>
      </c>
      <c r="P3" s="25">
        <f>'MASTER P&amp;L'!B6</f>
        <v>18483</v>
      </c>
      <c r="Q3" s="24">
        <f>'MASTER P&amp;L'!I6</f>
        <v>21427</v>
      </c>
      <c r="R3" s="26">
        <v>2.1299999999999999E-2</v>
      </c>
    </row>
    <row r="4" spans="1:18" x14ac:dyDescent="0.3">
      <c r="A4" s="22" t="s">
        <v>100</v>
      </c>
      <c r="B4" s="22"/>
      <c r="C4" s="22"/>
      <c r="D4" s="22"/>
      <c r="E4" s="23"/>
      <c r="J4">
        <f>(Q3/P3)</f>
        <v>1.1592815019206839</v>
      </c>
      <c r="O4" s="24" t="s">
        <v>82</v>
      </c>
      <c r="P4" s="24">
        <v>961</v>
      </c>
      <c r="Q4" s="24">
        <v>-26</v>
      </c>
      <c r="R4" s="24" t="s">
        <v>83</v>
      </c>
    </row>
    <row r="5" spans="1:18" x14ac:dyDescent="0.3">
      <c r="A5" s="23"/>
      <c r="B5" s="23"/>
      <c r="C5" s="23"/>
      <c r="D5" s="23"/>
      <c r="E5" s="23"/>
      <c r="J5">
        <f>(J4)^(1/7)</f>
        <v>1.0213388304335251</v>
      </c>
    </row>
    <row r="6" spans="1:18" x14ac:dyDescent="0.3">
      <c r="A6" s="92" t="s">
        <v>69</v>
      </c>
      <c r="B6" s="92"/>
      <c r="C6" s="92"/>
      <c r="D6" s="23"/>
      <c r="E6" s="23"/>
      <c r="J6" s="15">
        <f>J5-1</f>
        <v>2.1338830433525136E-2</v>
      </c>
    </row>
    <row r="7" spans="1:18" x14ac:dyDescent="0.3">
      <c r="A7" s="92" t="s">
        <v>70</v>
      </c>
      <c r="B7" s="92"/>
      <c r="C7" s="92"/>
      <c r="D7" s="23"/>
      <c r="E7" s="23"/>
      <c r="J7" s="17">
        <v>2.1299999999999999E-2</v>
      </c>
    </row>
    <row r="8" spans="1:18" x14ac:dyDescent="0.3">
      <c r="A8" s="92" t="s">
        <v>71</v>
      </c>
      <c r="B8" s="92"/>
      <c r="C8" s="92"/>
      <c r="D8" s="23"/>
      <c r="E8" s="23"/>
    </row>
    <row r="9" spans="1:18" x14ac:dyDescent="0.3">
      <c r="A9" s="92" t="s">
        <v>72</v>
      </c>
      <c r="B9" s="92"/>
      <c r="C9" s="92"/>
      <c r="D9" s="23"/>
      <c r="E9" s="23"/>
    </row>
    <row r="10" spans="1:18" x14ac:dyDescent="0.3">
      <c r="A10" s="92" t="s">
        <v>73</v>
      </c>
      <c r="B10" s="92"/>
      <c r="C10" s="92"/>
      <c r="D10" s="23"/>
      <c r="E10" s="23"/>
    </row>
    <row r="11" spans="1:18" x14ac:dyDescent="0.3">
      <c r="A11" s="92" t="s">
        <v>74</v>
      </c>
      <c r="B11" s="92"/>
      <c r="C11" s="92"/>
      <c r="D11" s="23"/>
      <c r="E11" s="23"/>
    </row>
    <row r="12" spans="1:18" ht="16.8" x14ac:dyDescent="0.3">
      <c r="A12" s="92" t="s">
        <v>75</v>
      </c>
      <c r="B12" s="92"/>
      <c r="C12" s="92"/>
      <c r="D12" s="23"/>
      <c r="E12" s="23"/>
      <c r="J12" s="94" t="s">
        <v>78</v>
      </c>
      <c r="K12" s="94"/>
    </row>
    <row r="13" spans="1:18" x14ac:dyDescent="0.3">
      <c r="A13" s="23"/>
      <c r="B13" s="23"/>
      <c r="C13" s="23"/>
      <c r="D13" s="23"/>
      <c r="E13" s="23"/>
    </row>
    <row r="14" spans="1:18" x14ac:dyDescent="0.3">
      <c r="J14" t="s">
        <v>79</v>
      </c>
    </row>
    <row r="16" spans="1:18" x14ac:dyDescent="0.3">
      <c r="J16">
        <f>(Q4/P4)</f>
        <v>-2.7055150884495317E-2</v>
      </c>
    </row>
    <row r="17" spans="10:10" x14ac:dyDescent="0.3">
      <c r="J17">
        <f>(J16)^(1/7)</f>
        <v>-0.59708437811119686</v>
      </c>
    </row>
    <row r="18" spans="10:10" x14ac:dyDescent="0.3">
      <c r="J18" s="15">
        <f>J17-1</f>
        <v>-1.5970843781111967</v>
      </c>
    </row>
  </sheetData>
  <mergeCells count="10">
    <mergeCell ref="A12:C12"/>
    <mergeCell ref="J1:K1"/>
    <mergeCell ref="J12:K12"/>
    <mergeCell ref="A1:F1"/>
    <mergeCell ref="A6:C6"/>
    <mergeCell ref="A7:C7"/>
    <mergeCell ref="A8:C8"/>
    <mergeCell ref="A9:C9"/>
    <mergeCell ref="A10:C10"/>
    <mergeCell ref="A11:C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F3AE-0DF2-4559-AD36-8987E19B7C36}">
  <sheetPr>
    <tabColor rgb="FFFF0000"/>
  </sheetPr>
  <dimension ref="A1:N24"/>
  <sheetViews>
    <sheetView workbookViewId="0">
      <selection activeCell="E4" sqref="E4"/>
    </sheetView>
  </sheetViews>
  <sheetFormatPr defaultRowHeight="14.4" x14ac:dyDescent="0.3"/>
  <cols>
    <col min="1" max="1" width="26" customWidth="1"/>
    <col min="2" max="2" width="16.77734375" customWidth="1"/>
    <col min="3" max="4" width="16.6640625" customWidth="1"/>
    <col min="5" max="5" width="16.5546875" customWidth="1"/>
    <col min="6" max="6" width="19.77734375" customWidth="1"/>
    <col min="7" max="7" width="17.109375" customWidth="1"/>
    <col min="8" max="8" width="13.88671875" customWidth="1"/>
    <col min="9" max="9" width="14.33203125" customWidth="1"/>
  </cols>
  <sheetData>
    <row r="1" spans="1:14" x14ac:dyDescent="0.3">
      <c r="A1" s="9" t="s">
        <v>1</v>
      </c>
      <c r="B1" s="9" t="s">
        <v>46</v>
      </c>
      <c r="C1" s="9" t="s">
        <v>47</v>
      </c>
      <c r="D1" s="9" t="s">
        <v>48</v>
      </c>
      <c r="E1" s="9" t="s">
        <v>49</v>
      </c>
      <c r="F1" s="9" t="s">
        <v>50</v>
      </c>
      <c r="G1" s="9" t="s">
        <v>51</v>
      </c>
      <c r="H1" s="9" t="s">
        <v>52</v>
      </c>
      <c r="I1" s="9" t="s">
        <v>53</v>
      </c>
    </row>
    <row r="2" spans="1:14" x14ac:dyDescent="0.3">
      <c r="A2" s="9" t="s">
        <v>85</v>
      </c>
      <c r="B2">
        <v>100</v>
      </c>
      <c r="C2">
        <f>('MASTER P&amp;L'!C$6/'MASTER P&amp;L'!$B$6)*100</f>
        <v>114.79738137748201</v>
      </c>
      <c r="D2">
        <f>('MASTER P&amp;L'!D$6/'MASTER P&amp;L'!$B$6)*100</f>
        <v>118.56841421847102</v>
      </c>
      <c r="E2">
        <f>('MASTER P&amp;L'!E$6/'MASTER P&amp;L'!$B$6)*100</f>
        <v>127.90131472163611</v>
      </c>
      <c r="F2">
        <f>('MASTER P&amp;L'!F$6/'MASTER P&amp;L'!$B$6)*100</f>
        <v>107.36352323756965</v>
      </c>
      <c r="G2">
        <f>('MASTER P&amp;L'!G$6/'MASTER P&amp;L'!$B$6)*100</f>
        <v>114.88394741113454</v>
      </c>
      <c r="H2">
        <f>('MASTER P&amp;L'!H$6/'MASTER P&amp;L'!$B$6)*100</f>
        <v>121.79299897202836</v>
      </c>
      <c r="I2">
        <f>('MASTER P&amp;L'!I$6/'MASTER P&amp;L'!$B$6)*100</f>
        <v>115.92815019206839</v>
      </c>
    </row>
    <row r="3" spans="1:14" x14ac:dyDescent="0.3">
      <c r="A3" s="9" t="s">
        <v>86</v>
      </c>
      <c r="B3">
        <v>100</v>
      </c>
      <c r="C3">
        <f>('MASTER P&amp;L'!C$10/'MASTER P&amp;L'!$B$10)*100</f>
        <v>119.04708894578648</v>
      </c>
      <c r="D3">
        <f>('MASTER P&amp;L'!D$10/'MASTER P&amp;L'!$B$10)*100</f>
        <v>125.88222197484136</v>
      </c>
      <c r="E3">
        <f>('MASTER P&amp;L'!E$10/'MASTER P&amp;L'!$B$10)*100</f>
        <v>136.84737838138707</v>
      </c>
      <c r="F3">
        <f>('MASTER P&amp;L'!F$10/'MASTER P&amp;L'!$B$10)*100</f>
        <v>109.78514972726261</v>
      </c>
      <c r="G3">
        <f>('MASTER P&amp;L'!G$10/'MASTER P&amp;L'!$B$10)*100</f>
        <v>119.36992096181676</v>
      </c>
      <c r="H3">
        <f>('MASTER P&amp;L'!H$10/'MASTER P&amp;L'!$B$10)*100</f>
        <v>118.53501057553156</v>
      </c>
      <c r="I3">
        <f>('MASTER P&amp;L'!I$10/'MASTER P&amp;L'!$B$10)*100</f>
        <v>113.30290548814428</v>
      </c>
      <c r="J3" s="97" t="s">
        <v>88</v>
      </c>
      <c r="K3" s="97"/>
      <c r="L3" s="97"/>
      <c r="M3" s="97"/>
      <c r="N3" s="97"/>
    </row>
    <row r="4" spans="1:14" x14ac:dyDescent="0.3">
      <c r="A4" s="9" t="s">
        <v>87</v>
      </c>
      <c r="B4">
        <v>100</v>
      </c>
      <c r="C4">
        <f>('MASTER P&amp;L'!C$19/'MASTER P&amp;L'!$B$19)*100</f>
        <v>114.79855371900827</v>
      </c>
      <c r="D4">
        <f>('MASTER P&amp;L'!D$19/'MASTER P&amp;L'!$B$19)*100</f>
        <v>118.01394628099173</v>
      </c>
      <c r="E4">
        <f>('MASTER P&amp;L'!E$19/'MASTER P&amp;L'!$B$19)*100</f>
        <v>127.59555785123966</v>
      </c>
      <c r="F4">
        <f>('MASTER P&amp;L'!F$19/'MASTER P&amp;L'!$B$19)*100</f>
        <v>118.89204545454545</v>
      </c>
      <c r="G4">
        <f>('MASTER P&amp;L'!G$19/'MASTER P&amp;L'!$B$19)*100</f>
        <v>116.80010330578511</v>
      </c>
      <c r="H4">
        <f>('MASTER P&amp;L'!H$19/'MASTER P&amp;L'!$B$19)*100</f>
        <v>132.25723140495867</v>
      </c>
      <c r="I4">
        <f>('MASTER P&amp;L'!I$19/'MASTER P&amp;L'!$B$19)*100</f>
        <v>128.93853305785123</v>
      </c>
      <c r="J4" s="97"/>
      <c r="K4" s="97"/>
      <c r="L4" s="97"/>
      <c r="M4" s="97"/>
      <c r="N4" s="97"/>
    </row>
    <row r="5" spans="1:14" x14ac:dyDescent="0.3">
      <c r="A5" s="9"/>
      <c r="E5" s="9"/>
      <c r="F5" s="9"/>
      <c r="J5" s="98" t="s">
        <v>89</v>
      </c>
      <c r="K5" s="98"/>
      <c r="L5" s="98"/>
      <c r="M5" s="98"/>
      <c r="N5" s="98"/>
    </row>
    <row r="6" spans="1:14" x14ac:dyDescent="0.3">
      <c r="A6" s="9"/>
      <c r="E6" s="9"/>
      <c r="F6" s="9"/>
      <c r="J6" s="98"/>
      <c r="K6" s="98"/>
      <c r="L6" s="98"/>
      <c r="M6" s="98"/>
      <c r="N6" s="98"/>
    </row>
    <row r="7" spans="1:14" x14ac:dyDescent="0.3">
      <c r="A7" s="9"/>
      <c r="E7" s="9"/>
      <c r="F7" s="9"/>
      <c r="J7" s="98"/>
      <c r="K7" s="98"/>
      <c r="L7" s="98"/>
      <c r="M7" s="98"/>
      <c r="N7" s="98"/>
    </row>
    <row r="8" spans="1:14" x14ac:dyDescent="0.3">
      <c r="A8" s="9"/>
      <c r="E8" s="9"/>
      <c r="F8" s="9"/>
      <c r="J8" s="98"/>
      <c r="K8" s="98"/>
      <c r="L8" s="98"/>
      <c r="M8" s="98"/>
      <c r="N8" s="98"/>
    </row>
    <row r="9" spans="1:14" x14ac:dyDescent="0.3">
      <c r="A9" s="9"/>
      <c r="E9" s="9"/>
      <c r="F9" s="9"/>
    </row>
    <row r="10" spans="1:14" ht="14.4" customHeight="1" x14ac:dyDescent="0.3">
      <c r="H10" s="18"/>
      <c r="I10" s="18"/>
      <c r="J10" s="18"/>
      <c r="K10" s="18"/>
      <c r="L10" s="18"/>
      <c r="M10" s="18"/>
    </row>
    <row r="11" spans="1:14" ht="14.4" customHeight="1" x14ac:dyDescent="0.3">
      <c r="H11" s="96" t="s">
        <v>90</v>
      </c>
      <c r="I11" s="96"/>
      <c r="J11" s="96"/>
      <c r="K11" s="96"/>
      <c r="L11" s="96"/>
      <c r="M11" s="96"/>
    </row>
    <row r="12" spans="1:14" ht="14.4" customHeight="1" x14ac:dyDescent="0.3">
      <c r="H12" s="96"/>
      <c r="I12" s="96"/>
      <c r="J12" s="96"/>
      <c r="K12" s="96"/>
      <c r="L12" s="96"/>
      <c r="M12" s="96"/>
    </row>
    <row r="13" spans="1:14" ht="14.4" customHeight="1" x14ac:dyDescent="0.3">
      <c r="H13" s="96"/>
      <c r="I13" s="96"/>
      <c r="J13" s="96"/>
      <c r="K13" s="96"/>
      <c r="L13" s="96"/>
      <c r="M13" s="96"/>
    </row>
    <row r="14" spans="1:14" ht="14.4" customHeight="1" x14ac:dyDescent="0.3">
      <c r="H14" s="96"/>
      <c r="I14" s="96"/>
      <c r="J14" s="96"/>
      <c r="K14" s="96"/>
      <c r="L14" s="96"/>
      <c r="M14" s="96"/>
    </row>
    <row r="15" spans="1:14" ht="14.4" customHeight="1" x14ac:dyDescent="0.3">
      <c r="H15" s="96"/>
      <c r="I15" s="96"/>
      <c r="J15" s="96"/>
      <c r="K15" s="96"/>
      <c r="L15" s="96"/>
      <c r="M15" s="96"/>
    </row>
    <row r="16" spans="1:14" ht="14.4" customHeight="1" x14ac:dyDescent="0.3">
      <c r="H16" s="96"/>
      <c r="I16" s="96"/>
      <c r="J16" s="96"/>
      <c r="K16" s="96"/>
      <c r="L16" s="96"/>
      <c r="M16" s="96"/>
    </row>
    <row r="17" spans="8:13" ht="14.4" customHeight="1" x14ac:dyDescent="0.3">
      <c r="H17" s="96"/>
      <c r="I17" s="96"/>
      <c r="J17" s="96"/>
      <c r="K17" s="96"/>
      <c r="L17" s="96"/>
      <c r="M17" s="96"/>
    </row>
    <row r="18" spans="8:13" ht="14.4" customHeight="1" x14ac:dyDescent="0.3">
      <c r="H18" s="96"/>
      <c r="I18" s="96"/>
      <c r="J18" s="96"/>
      <c r="K18" s="96"/>
      <c r="L18" s="96"/>
      <c r="M18" s="96"/>
    </row>
    <row r="19" spans="8:13" ht="14.4" customHeight="1" x14ac:dyDescent="0.3">
      <c r="H19" s="96"/>
      <c r="I19" s="96"/>
      <c r="J19" s="96"/>
      <c r="K19" s="96"/>
      <c r="L19" s="96"/>
      <c r="M19" s="96"/>
    </row>
    <row r="20" spans="8:13" ht="14.4" customHeight="1" x14ac:dyDescent="0.3">
      <c r="H20" s="96"/>
      <c r="I20" s="96"/>
      <c r="J20" s="96"/>
      <c r="K20" s="96"/>
      <c r="L20" s="96"/>
      <c r="M20" s="96"/>
    </row>
    <row r="21" spans="8:13" ht="14.4" customHeight="1" x14ac:dyDescent="0.3">
      <c r="H21" s="96"/>
      <c r="I21" s="96"/>
      <c r="J21" s="96"/>
      <c r="K21" s="96"/>
      <c r="L21" s="96"/>
      <c r="M21" s="96"/>
    </row>
    <row r="22" spans="8:13" ht="14.4" customHeight="1" x14ac:dyDescent="0.3">
      <c r="H22" s="96"/>
      <c r="I22" s="96"/>
      <c r="J22" s="96"/>
      <c r="K22" s="96"/>
      <c r="L22" s="96"/>
      <c r="M22" s="96"/>
    </row>
    <row r="23" spans="8:13" x14ac:dyDescent="0.3">
      <c r="H23" s="96"/>
      <c r="I23" s="96"/>
      <c r="J23" s="96"/>
      <c r="K23" s="96"/>
      <c r="L23" s="96"/>
      <c r="M23" s="96"/>
    </row>
    <row r="24" spans="8:13" x14ac:dyDescent="0.3">
      <c r="H24" s="96"/>
      <c r="I24" s="96"/>
      <c r="J24" s="96"/>
      <c r="K24" s="96"/>
      <c r="L24" s="96"/>
      <c r="M24" s="96"/>
    </row>
  </sheetData>
  <mergeCells count="3">
    <mergeCell ref="H11:M24"/>
    <mergeCell ref="J3:N4"/>
    <mergeCell ref="J5:N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B310-0912-4301-B19E-CB7262BA7B5F}">
  <dimension ref="A1:T11"/>
  <sheetViews>
    <sheetView workbookViewId="0">
      <selection sqref="A1:E4"/>
    </sheetView>
  </sheetViews>
  <sheetFormatPr defaultRowHeight="14.4" x14ac:dyDescent="0.3"/>
  <cols>
    <col min="1" max="1" width="19.6640625" customWidth="1"/>
    <col min="2" max="2" width="13" customWidth="1"/>
    <col min="3" max="3" width="12.6640625" customWidth="1"/>
    <col min="4" max="4" width="13.77734375" customWidth="1"/>
    <col min="5" max="5" width="14" customWidth="1"/>
    <col min="16" max="16" width="13.33203125" customWidth="1"/>
    <col min="17" max="17" width="14.109375" customWidth="1"/>
    <col min="18" max="18" width="15.6640625" customWidth="1"/>
    <col min="19" max="19" width="13.44140625" customWidth="1"/>
    <col min="20" max="20" width="14.6640625" customWidth="1"/>
  </cols>
  <sheetData>
    <row r="1" spans="1:20" x14ac:dyDescent="0.3">
      <c r="A1" t="s">
        <v>80</v>
      </c>
      <c r="B1" t="s">
        <v>91</v>
      </c>
      <c r="C1" t="s">
        <v>92</v>
      </c>
      <c r="D1" t="s">
        <v>93</v>
      </c>
      <c r="E1" t="s">
        <v>94</v>
      </c>
    </row>
    <row r="2" spans="1:20" x14ac:dyDescent="0.3">
      <c r="A2" t="s">
        <v>40</v>
      </c>
      <c r="B2" t="str">
        <f>_xlfn.XLOOKUP(C2,'MASTER P&amp;L'!B6:I6,'MASTER P&amp;L'!B1:I1)</f>
        <v>FY2019</v>
      </c>
      <c r="C2">
        <f>MAX('MASTER P&amp;L'!B6:I6)</f>
        <v>23640</v>
      </c>
      <c r="D2" t="str">
        <f>_xlfn.XLOOKUP(E2,'MASTER P&amp;L'!B6:I6,'MASTER P&amp;L'!B1:I1)</f>
        <v>FY2016</v>
      </c>
      <c r="E2">
        <f>MIN('MASTER P&amp;L'!B6:I6)</f>
        <v>18483</v>
      </c>
    </row>
    <row r="3" spans="1:20" x14ac:dyDescent="0.3">
      <c r="A3" t="s">
        <v>95</v>
      </c>
      <c r="B3" t="str">
        <f>_xlfn.XLOOKUP(C3,'MASTER P&amp;L'!B22:I22,'MASTER P&amp;L'!B1:I1)</f>
        <v>FY2019</v>
      </c>
      <c r="C3">
        <f>MAX('MASTER P&amp;L'!B22:I22)</f>
        <v>2620</v>
      </c>
      <c r="D3" t="str">
        <f>_xlfn.XLOOKUP(E3,'MASTER P&amp;L'!B22:I22,'MASTER P&amp;L'!B1:I1)</f>
        <v>FY2023</v>
      </c>
      <c r="E3">
        <f>MIN('MASTER P&amp;L'!B22:I22)</f>
        <v>355</v>
      </c>
      <c r="H3" s="97" t="s">
        <v>97</v>
      </c>
      <c r="I3" s="97"/>
      <c r="J3" s="97"/>
      <c r="K3" s="97"/>
      <c r="L3" s="97"/>
      <c r="M3" s="97"/>
      <c r="N3" s="97"/>
      <c r="O3" s="97"/>
      <c r="P3" s="97"/>
      <c r="Q3" s="13"/>
      <c r="R3" s="13"/>
      <c r="S3" s="13"/>
    </row>
    <row r="4" spans="1:20" x14ac:dyDescent="0.3">
      <c r="A4" t="s">
        <v>96</v>
      </c>
      <c r="B4" t="str">
        <f>_xlfn.XLOOKUP(C4,'MASTER P&amp;L'!B36:I36,'MASTER P&amp;L'!$B1:$I1)</f>
        <v>FY2019</v>
      </c>
      <c r="C4">
        <f>MAX('MASTER P&amp;L'!B36:I36)</f>
        <v>9.48</v>
      </c>
      <c r="D4" t="str">
        <f>_xlfn.XLOOKUP(E4,'MASTER P&amp;L'!B36:I36,'MASTER P&amp;L'!$B1:$I1)</f>
        <v>FY2023</v>
      </c>
      <c r="E4">
        <f>MIN('MASTER P&amp;L'!B36:I36)</f>
        <v>-0.18</v>
      </c>
      <c r="H4" s="97"/>
      <c r="I4" s="97"/>
      <c r="J4" s="97"/>
      <c r="K4" s="97"/>
      <c r="L4" s="97"/>
      <c r="M4" s="97"/>
      <c r="N4" s="97"/>
      <c r="O4" s="97"/>
      <c r="P4" s="97"/>
      <c r="Q4" s="13"/>
      <c r="R4" s="13"/>
      <c r="S4" s="13"/>
    </row>
    <row r="10" spans="1:20" x14ac:dyDescent="0.3">
      <c r="R10" s="16"/>
      <c r="T10" s="16"/>
    </row>
    <row r="11" spans="1:20" x14ac:dyDescent="0.3">
      <c r="R11" s="16"/>
    </row>
  </sheetData>
  <mergeCells count="1">
    <mergeCell ref="H3:P4"/>
  </mergeCells>
  <phoneticPr fontId="1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CC34-1524-49D5-A28C-60AA00191197}">
  <dimension ref="A1:Q12"/>
  <sheetViews>
    <sheetView workbookViewId="0">
      <selection activeCell="A8" sqref="A8:E12"/>
    </sheetView>
  </sheetViews>
  <sheetFormatPr defaultRowHeight="14.4" x14ac:dyDescent="0.3"/>
  <sheetData>
    <row r="1" spans="1:17" ht="15" customHeight="1" x14ac:dyDescent="0.3">
      <c r="A1" s="99" t="s">
        <v>373</v>
      </c>
      <c r="B1" s="99"/>
      <c r="C1" s="99"/>
      <c r="D1" s="99"/>
      <c r="E1" s="99"/>
    </row>
    <row r="2" spans="1:17" ht="15" customHeight="1" x14ac:dyDescent="0.3">
      <c r="A2" s="99"/>
      <c r="B2" s="99"/>
      <c r="C2" s="99"/>
      <c r="D2" s="99"/>
      <c r="E2" s="99"/>
    </row>
    <row r="3" spans="1:17" ht="15" customHeight="1" x14ac:dyDescent="0.35">
      <c r="A3" s="99"/>
      <c r="B3" s="99"/>
      <c r="C3" s="99"/>
      <c r="D3" s="99"/>
      <c r="E3" s="99"/>
      <c r="G3" s="15">
        <f>('MASTER P&amp;L'!I6/'MASTER P&amp;L'!B6)-1</f>
        <v>0.15928150192068391</v>
      </c>
      <c r="J3" s="100" t="s">
        <v>99</v>
      </c>
      <c r="K3" s="100"/>
      <c r="L3" s="100"/>
      <c r="M3" s="100"/>
      <c r="N3" s="100"/>
      <c r="O3" s="12"/>
      <c r="P3" s="12"/>
      <c r="Q3" s="12"/>
    </row>
    <row r="4" spans="1:17" ht="15" customHeight="1" x14ac:dyDescent="0.35">
      <c r="A4" s="99"/>
      <c r="B4" s="99"/>
      <c r="C4" s="99"/>
      <c r="D4" s="99"/>
      <c r="E4" s="99"/>
      <c r="J4" s="100"/>
      <c r="K4" s="100"/>
      <c r="L4" s="100"/>
      <c r="M4" s="100"/>
      <c r="N4" s="100"/>
      <c r="O4" s="12"/>
      <c r="P4" s="12"/>
      <c r="Q4" s="12"/>
    </row>
    <row r="5" spans="1:17" ht="14.4" customHeight="1" x14ac:dyDescent="0.35">
      <c r="A5" s="99"/>
      <c r="B5" s="99"/>
      <c r="C5" s="99"/>
      <c r="D5" s="99"/>
      <c r="E5" s="99"/>
      <c r="J5" s="100"/>
      <c r="K5" s="100"/>
      <c r="L5" s="100"/>
      <c r="M5" s="100"/>
      <c r="N5" s="100"/>
      <c r="O5" s="12"/>
      <c r="P5" s="12"/>
      <c r="Q5" s="12"/>
    </row>
    <row r="6" spans="1:17" ht="14.4" customHeight="1" x14ac:dyDescent="0.35">
      <c r="A6" s="19"/>
      <c r="B6" s="19"/>
      <c r="C6" s="19"/>
      <c r="D6" s="19"/>
      <c r="J6" s="100"/>
      <c r="K6" s="100"/>
      <c r="L6" s="100"/>
      <c r="M6" s="100"/>
      <c r="N6" s="100"/>
      <c r="O6" s="12"/>
      <c r="P6" s="12"/>
      <c r="Q6" s="12"/>
    </row>
    <row r="7" spans="1:17" ht="14.4" customHeight="1" x14ac:dyDescent="0.35">
      <c r="A7" s="19"/>
      <c r="B7" s="19"/>
      <c r="C7" s="19"/>
      <c r="D7" s="19"/>
      <c r="J7" s="100"/>
      <c r="K7" s="100"/>
      <c r="L7" s="100"/>
      <c r="M7" s="100"/>
      <c r="N7" s="100"/>
      <c r="O7" s="12"/>
      <c r="P7" s="12"/>
      <c r="Q7" s="12"/>
    </row>
    <row r="8" spans="1:17" ht="14.4" customHeight="1" x14ac:dyDescent="0.35">
      <c r="A8" s="99" t="s">
        <v>98</v>
      </c>
      <c r="B8" s="99"/>
      <c r="C8" s="99"/>
      <c r="D8" s="99"/>
      <c r="E8" s="99"/>
      <c r="J8" s="100"/>
      <c r="K8" s="100"/>
      <c r="L8" s="100"/>
      <c r="M8" s="100"/>
      <c r="N8" s="100"/>
      <c r="O8" s="12"/>
      <c r="P8" s="12"/>
      <c r="Q8" s="12"/>
    </row>
    <row r="9" spans="1:17" ht="14.4" customHeight="1" x14ac:dyDescent="0.35">
      <c r="A9" s="99"/>
      <c r="B9" s="99"/>
      <c r="C9" s="99"/>
      <c r="D9" s="99"/>
      <c r="E9" s="99"/>
      <c r="J9" s="100"/>
      <c r="K9" s="100"/>
      <c r="L9" s="100"/>
      <c r="M9" s="100"/>
      <c r="N9" s="100"/>
      <c r="O9" s="12"/>
      <c r="P9" s="12"/>
      <c r="Q9" s="12"/>
    </row>
    <row r="10" spans="1:17" ht="14.4" customHeight="1" x14ac:dyDescent="0.35">
      <c r="A10" s="99"/>
      <c r="B10" s="99"/>
      <c r="C10" s="99"/>
      <c r="D10" s="99"/>
      <c r="E10" s="99"/>
      <c r="G10" s="15">
        <f>('MASTER P&amp;L'!I19/'MASTER P&amp;L'!B19)-1</f>
        <v>0.28938533057851235</v>
      </c>
      <c r="J10" s="101"/>
      <c r="K10" s="101"/>
      <c r="L10" s="101"/>
      <c r="M10" s="101"/>
      <c r="N10" s="101"/>
      <c r="O10" s="12"/>
      <c r="P10" s="12"/>
      <c r="Q10" s="12"/>
    </row>
    <row r="11" spans="1:17" x14ac:dyDescent="0.3">
      <c r="A11" s="99"/>
      <c r="B11" s="99"/>
      <c r="C11" s="99"/>
      <c r="D11" s="99"/>
      <c r="E11" s="99"/>
    </row>
    <row r="12" spans="1:17" x14ac:dyDescent="0.3">
      <c r="A12" s="99"/>
      <c r="B12" s="99"/>
      <c r="C12" s="99"/>
      <c r="D12" s="99"/>
      <c r="E12" s="99"/>
    </row>
  </sheetData>
  <mergeCells count="3">
    <mergeCell ref="A1:E5"/>
    <mergeCell ref="A8:E12"/>
    <mergeCell ref="J3:N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4FAC-73AC-487F-AA84-6062B2290983}">
  <dimension ref="A1:I4"/>
  <sheetViews>
    <sheetView workbookViewId="0">
      <selection activeCell="K7" sqref="K7"/>
    </sheetView>
  </sheetViews>
  <sheetFormatPr defaultRowHeight="14.4" x14ac:dyDescent="0.3"/>
  <cols>
    <col min="1" max="1" width="48.6640625" customWidth="1"/>
  </cols>
  <sheetData>
    <row r="1" spans="1:9" ht="31.2" customHeight="1" x14ac:dyDescent="0.3">
      <c r="A1" t="s">
        <v>104</v>
      </c>
      <c r="B1" t="s">
        <v>46</v>
      </c>
      <c r="C1" t="s">
        <v>47</v>
      </c>
      <c r="D1" t="s">
        <v>48</v>
      </c>
      <c r="E1" t="s">
        <v>49</v>
      </c>
      <c r="F1" t="s">
        <v>50</v>
      </c>
      <c r="G1" t="s">
        <v>51</v>
      </c>
      <c r="H1" t="s">
        <v>52</v>
      </c>
      <c r="I1" t="s">
        <v>53</v>
      </c>
    </row>
    <row r="2" spans="1:9" ht="35.4" customHeight="1" x14ac:dyDescent="0.3">
      <c r="A2" s="27" t="s">
        <v>101</v>
      </c>
      <c r="B2">
        <f>('MASTER P&amp;L'!B$10/'MASTER P&amp;L'!B$6)*100</f>
        <v>48.601417518801057</v>
      </c>
      <c r="C2">
        <f>('MASTER P&amp;L'!C$10/'MASTER P&amp;L'!C$6)*100</f>
        <v>50.400603261381846</v>
      </c>
      <c r="D2">
        <f>('MASTER P&amp;L'!D$10/'MASTER P&amp;L'!D$6)*100</f>
        <v>51.59936116814967</v>
      </c>
      <c r="E2">
        <f>('MASTER P&amp;L'!E$10/'MASTER P&amp;L'!E$6)*100</f>
        <v>52.000846023688666</v>
      </c>
      <c r="F2">
        <f>('MASTER P&amp;L'!F$10/'MASTER P&amp;L'!F$6)*100</f>
        <v>49.697641604515219</v>
      </c>
      <c r="G2">
        <f>('MASTER P&amp;L'!G$10/'MASTER P&amp;L'!G$6)*100</f>
        <v>50.499199397193181</v>
      </c>
      <c r="H2">
        <f>('MASTER P&amp;L'!H$10/'MASTER P&amp;L'!H$6)*100</f>
        <v>47.301319354982006</v>
      </c>
      <c r="I2">
        <f>('MASTER P&amp;L'!I$10/'MASTER P&amp;L'!I$6)*100</f>
        <v>47.500816726559947</v>
      </c>
    </row>
    <row r="3" spans="1:9" ht="33" customHeight="1" x14ac:dyDescent="0.3">
      <c r="A3" s="27" t="s">
        <v>102</v>
      </c>
      <c r="B3">
        <f>('MASTER P&amp;L'!B$22/'MASTER P&amp;L'!B$6)*100</f>
        <v>7.6124005843207279</v>
      </c>
      <c r="C3">
        <f>('MASTER P&amp;L'!C$22/'MASTER P&amp;L'!C$6)*100</f>
        <v>9.3552643981525119</v>
      </c>
      <c r="D3">
        <f>('MASTER P&amp;L'!D$22/'MASTER P&amp;L'!D$6)*100</f>
        <v>10.773442847364818</v>
      </c>
      <c r="E3">
        <f>('MASTER P&amp;L'!E$22/'MASTER P&amp;L'!E$6)*100</f>
        <v>11.082910321489003</v>
      </c>
      <c r="F3">
        <f>('MASTER P&amp;L'!F$22/'MASTER P&amp;L'!F$6)*100</f>
        <v>4.0465631929046566</v>
      </c>
      <c r="G3">
        <f>('MASTER P&amp;L'!G$22/'MASTER P&amp;L'!G$6)*100</f>
        <v>8.6653480267495535</v>
      </c>
      <c r="H3">
        <f>('MASTER P&amp;L'!H$22/'MASTER P&amp;L'!H$6)*100</f>
        <v>1.719159522011461</v>
      </c>
      <c r="I3">
        <f>('MASTER P&amp;L'!I$22/'MASTER P&amp;L'!I$6)*100</f>
        <v>1.6567881644653941</v>
      </c>
    </row>
    <row r="4" spans="1:9" ht="40.799999999999997" customHeight="1" x14ac:dyDescent="0.3">
      <c r="A4" s="27" t="s">
        <v>103</v>
      </c>
      <c r="B4">
        <f>('MASTER P&amp;L'!B$34/'MASTER P&amp;L'!B$6)*100</f>
        <v>5.1344478710166097</v>
      </c>
      <c r="C4">
        <f>('MASTER P&amp;L'!C$34/'MASTER P&amp;L'!C$6)*100</f>
        <v>6.470920916203224</v>
      </c>
      <c r="D4">
        <f>('MASTER P&amp;L'!D$34/'MASTER P&amp;L'!D$6)*100</f>
        <v>7.711613050422085</v>
      </c>
      <c r="E4">
        <f>('MASTER P&amp;L'!E$34/'MASTER P&amp;L'!E$6)*100</f>
        <v>7.8468697123519462</v>
      </c>
      <c r="F4">
        <f>('MASTER P&amp;L'!F$34/'MASTER P&amp;L'!F$6)*100</f>
        <v>1.7486393872203183</v>
      </c>
      <c r="G4">
        <f>('MASTER P&amp;L'!G$34/'MASTER P&amp;L'!G$6)*100</f>
        <v>6.8145427145144586</v>
      </c>
      <c r="H4">
        <f>('MASTER P&amp;L'!H$34/'MASTER P&amp;L'!H$6)*100</f>
        <v>0.2221136333348141</v>
      </c>
      <c r="I4">
        <f>('MASTER P&amp;L'!I$34/'MASTER P&amp;L'!I$6)*100</f>
        <v>-0.15401129416157186</v>
      </c>
    </row>
  </sheetData>
  <phoneticPr fontId="16" type="noConversion"/>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6DB2-F00B-4AE4-B8F3-8F44D44EFEE6}">
  <dimension ref="A1:M20"/>
  <sheetViews>
    <sheetView zoomScale="85" zoomScaleNormal="85" workbookViewId="0">
      <selection activeCell="H15" sqref="H15"/>
    </sheetView>
  </sheetViews>
  <sheetFormatPr defaultRowHeight="14.4" x14ac:dyDescent="0.3"/>
  <cols>
    <col min="1" max="1" width="4.77734375" customWidth="1"/>
    <col min="2" max="2" width="26" customWidth="1"/>
    <col min="3" max="3" width="18.88671875" customWidth="1"/>
    <col min="4" max="4" width="21.44140625" customWidth="1"/>
    <col min="8" max="8" width="14.88671875" customWidth="1"/>
    <col min="9" max="9" width="6.33203125" customWidth="1"/>
    <col min="10" max="10" width="25.21875" customWidth="1"/>
    <col min="11" max="11" width="24.33203125" customWidth="1"/>
    <col min="12" max="12" width="24.77734375" customWidth="1"/>
    <col min="13" max="13" width="13.21875" customWidth="1"/>
  </cols>
  <sheetData>
    <row r="1" spans="1:13" ht="20.399999999999999" customHeight="1" x14ac:dyDescent="0.3">
      <c r="A1" s="102" t="s">
        <v>105</v>
      </c>
      <c r="B1" s="102"/>
      <c r="C1" s="102"/>
      <c r="D1" s="19" t="s">
        <v>106</v>
      </c>
      <c r="I1" s="19" t="s">
        <v>108</v>
      </c>
    </row>
    <row r="2" spans="1:13" x14ac:dyDescent="0.3">
      <c r="A2" s="102"/>
      <c r="B2" s="102"/>
      <c r="C2" s="102"/>
      <c r="E2" t="s">
        <v>110</v>
      </c>
    </row>
    <row r="3" spans="1:13" x14ac:dyDescent="0.3">
      <c r="F3" s="15">
        <f>'Stage 5 -Q1'!$I$2-'Stage 5 -Q1'!$E$2</f>
        <v>-4.5000292971287195</v>
      </c>
      <c r="J3" t="s">
        <v>114</v>
      </c>
      <c r="K3" t="s">
        <v>115</v>
      </c>
      <c r="L3" t="s">
        <v>116</v>
      </c>
      <c r="M3" t="s">
        <v>121</v>
      </c>
    </row>
    <row r="4" spans="1:13" x14ac:dyDescent="0.3">
      <c r="J4" t="s">
        <v>117</v>
      </c>
      <c r="K4">
        <f>(ABS('MASTER P&amp;L'!E15)/'MASTER P&amp;L'!E6)*100</f>
        <v>12.800338409475465</v>
      </c>
      <c r="L4">
        <f>(ABS('MASTER P&amp;L'!I15)/'MASTER P&amp;L'!I6)*100</f>
        <v>12.3022354972698</v>
      </c>
      <c r="M4">
        <f>L4-K4</f>
        <v>-0.49810291220566505</v>
      </c>
    </row>
    <row r="5" spans="1:13" ht="15" x14ac:dyDescent="0.3">
      <c r="A5" s="19"/>
      <c r="J5" t="s">
        <v>118</v>
      </c>
      <c r="K5">
        <f>(ABS('MASTER P&amp;L'!E16)/'MASTER P&amp;L'!E6)*100</f>
        <v>22.301184433164128</v>
      </c>
      <c r="L5">
        <f>(ABS('MASTER P&amp;L'!I16)/'MASTER P&amp;L'!I6)*100</f>
        <v>25.799225276520275</v>
      </c>
      <c r="M5">
        <f>L5-K5</f>
        <v>3.4980408433561472</v>
      </c>
    </row>
    <row r="6" spans="1:13" x14ac:dyDescent="0.3">
      <c r="J6" t="s">
        <v>119</v>
      </c>
      <c r="K6">
        <f>(ABS('MASTER P&amp;L'!E17)/'MASTER P&amp;L'!E6)*100</f>
        <v>5.6979695431472086</v>
      </c>
      <c r="L6">
        <f>(ABS('MASTER P&amp;L'!I17)/'MASTER P&amp;L'!I6)*100</f>
        <v>7.2992019414757081</v>
      </c>
      <c r="M6">
        <f>L6-K6</f>
        <v>1.6012323983284995</v>
      </c>
    </row>
    <row r="7" spans="1:13" ht="15" x14ac:dyDescent="0.3">
      <c r="A7" s="19"/>
      <c r="J7" t="s">
        <v>120</v>
      </c>
      <c r="K7">
        <f>(ABS('MASTER P&amp;L'!E18)/'MASTER P&amp;L'!E6)*100</f>
        <v>0.99830795262267347</v>
      </c>
      <c r="L7">
        <f>(ABS('MASTER P&amp;L'!I18)/'MASTER P&amp;L'!I6)*100</f>
        <v>1.1994212908946655</v>
      </c>
      <c r="M7">
        <f>L7-K7</f>
        <v>0.20111333827199207</v>
      </c>
    </row>
    <row r="8" spans="1:13" ht="15" x14ac:dyDescent="0.3">
      <c r="A8" s="19" t="s">
        <v>107</v>
      </c>
      <c r="C8" s="19"/>
    </row>
    <row r="11" spans="1:13" ht="15" x14ac:dyDescent="0.3">
      <c r="C11" s="84" t="s">
        <v>111</v>
      </c>
      <c r="D11" s="84"/>
      <c r="I11" s="19" t="s">
        <v>109</v>
      </c>
    </row>
    <row r="12" spans="1:13" x14ac:dyDescent="0.3">
      <c r="C12" s="84" t="s">
        <v>112</v>
      </c>
      <c r="D12" s="84"/>
    </row>
    <row r="13" spans="1:13" x14ac:dyDescent="0.3">
      <c r="C13" s="84" t="s">
        <v>113</v>
      </c>
      <c r="D13" s="84"/>
    </row>
    <row r="14" spans="1:13" ht="12.6" customHeight="1" x14ac:dyDescent="0.3">
      <c r="A14" s="19"/>
      <c r="J14" s="103" t="s">
        <v>370</v>
      </c>
      <c r="K14" s="103"/>
      <c r="L14" s="103"/>
    </row>
    <row r="15" spans="1:13" x14ac:dyDescent="0.3">
      <c r="J15" s="103"/>
      <c r="K15" s="103"/>
      <c r="L15" s="103"/>
    </row>
    <row r="16" spans="1:13" ht="15" x14ac:dyDescent="0.3">
      <c r="B16" s="62" t="s">
        <v>114</v>
      </c>
      <c r="C16" s="62" t="s">
        <v>115</v>
      </c>
      <c r="D16" s="62" t="s">
        <v>116</v>
      </c>
      <c r="I16" s="19"/>
      <c r="J16" s="103"/>
      <c r="K16" s="103"/>
      <c r="L16" s="103"/>
    </row>
    <row r="17" spans="1:4" x14ac:dyDescent="0.3">
      <c r="B17" s="62" t="s">
        <v>117</v>
      </c>
      <c r="C17" s="62">
        <f>(ABS('MASTER P&amp;L'!E15)/'MASTER P&amp;L'!E6)*100</f>
        <v>12.800338409475465</v>
      </c>
      <c r="D17" s="62">
        <f>(ABS('MASTER P&amp;L'!I15)/'MASTER P&amp;L'!I6)*100</f>
        <v>12.3022354972698</v>
      </c>
    </row>
    <row r="18" spans="1:4" ht="15" x14ac:dyDescent="0.3">
      <c r="A18" s="19"/>
      <c r="B18" s="62" t="s">
        <v>118</v>
      </c>
      <c r="C18" s="62">
        <f>(ABS('MASTER P&amp;L'!E16)/'MASTER P&amp;L'!E6)*100</f>
        <v>22.301184433164128</v>
      </c>
      <c r="D18" s="62">
        <f>(ABS('MASTER P&amp;L'!I16)/'MASTER P&amp;L'!I6)*100</f>
        <v>25.799225276520275</v>
      </c>
    </row>
    <row r="19" spans="1:4" x14ac:dyDescent="0.3">
      <c r="B19" s="62" t="s">
        <v>119</v>
      </c>
      <c r="C19" s="62">
        <f>(ABS('MASTER P&amp;L'!E17)/'MASTER P&amp;L'!E6)*100</f>
        <v>5.6979695431472086</v>
      </c>
      <c r="D19" s="62">
        <f>(ABS('MASTER P&amp;L'!I17)/'MASTER P&amp;L'!I6)*100</f>
        <v>7.2992019414757081</v>
      </c>
    </row>
    <row r="20" spans="1:4" x14ac:dyDescent="0.3">
      <c r="B20" s="62" t="s">
        <v>120</v>
      </c>
      <c r="C20" s="62">
        <f>(ABS('MASTER P&amp;L'!E18)/'MASTER P&amp;L'!E6)*100</f>
        <v>0.99830795262267347</v>
      </c>
      <c r="D20" s="62">
        <f>(ABS('MASTER P&amp;L'!I18)/'MASTER P&amp;L'!I6)*100</f>
        <v>1.1994212908946655</v>
      </c>
    </row>
  </sheetData>
  <mergeCells count="2">
    <mergeCell ref="A1:C2"/>
    <mergeCell ref="J14:L16"/>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1FF9-80BF-4E7C-B21B-8E87272EED73}">
  <dimension ref="A1:J10"/>
  <sheetViews>
    <sheetView workbookViewId="0">
      <selection activeCell="F12" sqref="F12"/>
    </sheetView>
  </sheetViews>
  <sheetFormatPr defaultRowHeight="14.4" x14ac:dyDescent="0.3"/>
  <cols>
    <col min="1" max="1" width="22.44140625" bestFit="1" customWidth="1"/>
    <col min="2" max="9" width="18.33203125" customWidth="1"/>
  </cols>
  <sheetData>
    <row r="1" spans="1:10" x14ac:dyDescent="0.3">
      <c r="A1" t="s">
        <v>372</v>
      </c>
      <c r="B1" t="s">
        <v>122</v>
      </c>
      <c r="C1" t="s">
        <v>123</v>
      </c>
      <c r="D1" t="s">
        <v>124</v>
      </c>
      <c r="E1" t="s">
        <v>115</v>
      </c>
      <c r="F1" t="s">
        <v>125</v>
      </c>
      <c r="G1" t="s">
        <v>126</v>
      </c>
      <c r="H1" t="s">
        <v>127</v>
      </c>
      <c r="I1" t="s">
        <v>116</v>
      </c>
    </row>
    <row r="2" spans="1:10" x14ac:dyDescent="0.3">
      <c r="A2" t="s">
        <v>117</v>
      </c>
      <c r="B2" s="17">
        <f>(ABS('MASTER P&amp;L'!B$15)/'MASTER P&amp;L'!B$6)</f>
        <v>0.13699074825515339</v>
      </c>
      <c r="C2" s="17">
        <f>(ABS('MASTER P&amp;L'!C$15)/'MASTER P&amp;L'!C$6)</f>
        <v>0.13399000848336318</v>
      </c>
      <c r="D2" s="17">
        <f>(ABS('MASTER P&amp;L'!D$15)/'MASTER P&amp;L'!D$6)</f>
        <v>0.13100616016427105</v>
      </c>
      <c r="E2" s="17">
        <f>(ABS('MASTER P&amp;L'!E$15)/'MASTER P&amp;L'!E$6)</f>
        <v>0.12800338409475465</v>
      </c>
      <c r="F2" s="17">
        <f>(ABS('MASTER P&amp;L'!F$15)/'MASTER P&amp;L'!F$6)</f>
        <v>0.11897802862326144</v>
      </c>
      <c r="G2" s="17">
        <f>(ABS('MASTER P&amp;L'!G$15)/'MASTER P&amp;L'!G$6)</f>
        <v>0.12098521239521522</v>
      </c>
      <c r="H2" s="17">
        <f>(ABS('MASTER P&amp;L'!H$15)/'MASTER P&amp;L'!H$6)</f>
        <v>0.12398383012749323</v>
      </c>
      <c r="I2" s="17">
        <f>(ABS('MASTER P&amp;L'!I$15)/'MASTER P&amp;L'!I$6)</f>
        <v>0.12302235497269799</v>
      </c>
      <c r="J2" s="17"/>
    </row>
    <row r="3" spans="1:10" x14ac:dyDescent="0.3">
      <c r="A3" t="s">
        <v>118</v>
      </c>
      <c r="B3" s="17">
        <f>(ABS('MASTER P&amp;L'!B$16)/'MASTER P&amp;L'!B$6)</f>
        <v>0.21798409349131634</v>
      </c>
      <c r="C3" s="17">
        <f>(ABS('MASTER P&amp;L'!C$16)/'MASTER P&amp;L'!C$6)</f>
        <v>0.22198133660099914</v>
      </c>
      <c r="D3" s="17">
        <f>(ABS('MASTER P&amp;L'!D$16)/'MASTER P&amp;L'!D$6)</f>
        <v>0.22400182523385809</v>
      </c>
      <c r="E3" s="17">
        <f>(ABS('MASTER P&amp;L'!E$16)/'MASTER P&amp;L'!E$6)</f>
        <v>0.22301184433164128</v>
      </c>
      <c r="F3" s="17">
        <f>(ABS('MASTER P&amp;L'!F$16)/'MASTER P&amp;L'!F$6)</f>
        <v>0.27000604716790971</v>
      </c>
      <c r="G3" s="17">
        <f>(ABS('MASTER P&amp;L'!G$16)/'MASTER P&amp;L'!G$6)</f>
        <v>0.23401149100499199</v>
      </c>
      <c r="H3" s="17">
        <f>(ABS('MASTER P&amp;L'!H$16)/'MASTER P&amp;L'!H$6)</f>
        <v>0.24299231486828662</v>
      </c>
      <c r="I3" s="17">
        <f>(ABS('MASTER P&amp;L'!I$16)/'MASTER P&amp;L'!I$6)</f>
        <v>0.25799225276520277</v>
      </c>
      <c r="J3" s="17"/>
    </row>
    <row r="4" spans="1:10" x14ac:dyDescent="0.3">
      <c r="A4" t="s">
        <v>119</v>
      </c>
      <c r="B4" s="17">
        <f>(ABS('MASTER P&amp;L'!B$17)/'MASTER P&amp;L'!B$6)</f>
        <v>5.3995563490775306E-2</v>
      </c>
      <c r="C4" s="17">
        <f>(ABS('MASTER P&amp;L'!C$17)/'MASTER P&amp;L'!C$6)</f>
        <v>5.3021019888773682E-2</v>
      </c>
      <c r="D4" s="17">
        <f>(ABS('MASTER P&amp;L'!D$17)/'MASTER P&amp;L'!D$6)</f>
        <v>5.2019164955509928E-2</v>
      </c>
      <c r="E4" s="17">
        <f>(ABS('MASTER P&amp;L'!E$17)/'MASTER P&amp;L'!E$6)</f>
        <v>5.6979695431472084E-2</v>
      </c>
      <c r="F4" s="17">
        <f>(ABS('MASTER P&amp;L'!F$17)/'MASTER P&amp;L'!F$6)</f>
        <v>6.5007055029227975E-2</v>
      </c>
      <c r="G4" s="17">
        <f>(ABS('MASTER P&amp;L'!G$17)/'MASTER P&amp;L'!G$6)</f>
        <v>6.0987096166525381E-2</v>
      </c>
      <c r="H4" s="17">
        <f>(ABS('MASTER P&amp;L'!H$17)/'MASTER P&amp;L'!H$6)</f>
        <v>7.8006308027186708E-2</v>
      </c>
      <c r="I4" s="17">
        <f>(ABS('MASTER P&amp;L'!I$17)/'MASTER P&amp;L'!I$6)</f>
        <v>7.2992019414757081E-2</v>
      </c>
      <c r="J4" s="17"/>
    </row>
    <row r="5" spans="1:10" x14ac:dyDescent="0.3">
      <c r="A5" t="s">
        <v>120</v>
      </c>
      <c r="B5" s="17">
        <f>(ABS('MASTER P&amp;L'!B$18)/'MASTER P&amp;L'!B$6)</f>
        <v>1.0009197641075582E-2</v>
      </c>
      <c r="C5" s="17">
        <f>(ABS('MASTER P&amp;L'!C$18)/'MASTER P&amp;L'!C$6)</f>
        <v>9.991516636817797E-3</v>
      </c>
      <c r="D5" s="17">
        <f>(ABS('MASTER P&amp;L'!D$18)/'MASTER P&amp;L'!D$6)</f>
        <v>9.9931553730321695E-3</v>
      </c>
      <c r="E5" s="17">
        <f>(ABS('MASTER P&amp;L'!E$18)/'MASTER P&amp;L'!E$6)</f>
        <v>9.9830795262267347E-3</v>
      </c>
      <c r="F5" s="17">
        <f>(ABS('MASTER P&amp;L'!F$18)/'MASTER P&amp;L'!F$6)</f>
        <v>9.9778270509977823E-3</v>
      </c>
      <c r="G5" s="17">
        <f>(ABS('MASTER P&amp;L'!G$18)/'MASTER P&amp;L'!G$6)</f>
        <v>9.9839879438636155E-3</v>
      </c>
      <c r="H5" s="17">
        <f>(ABS('MASTER P&amp;L'!H$18)/'MASTER P&amp;L'!H$6)</f>
        <v>9.9951135000666338E-3</v>
      </c>
      <c r="I5" s="17">
        <f>(ABS('MASTER P&amp;L'!I$18)/'MASTER P&amp;L'!I$6)</f>
        <v>1.1994212908946656E-2</v>
      </c>
      <c r="J5" s="17"/>
    </row>
    <row r="8" spans="1:10" ht="27" customHeight="1" x14ac:dyDescent="0.3">
      <c r="A8" s="103" t="s">
        <v>362</v>
      </c>
      <c r="B8" s="103"/>
      <c r="C8" s="103"/>
      <c r="D8" s="103"/>
      <c r="E8" s="103"/>
    </row>
    <row r="9" spans="1:10" ht="35.4" customHeight="1" x14ac:dyDescent="0.3">
      <c r="A9" s="103" t="s">
        <v>363</v>
      </c>
      <c r="B9" s="103"/>
      <c r="C9" s="103"/>
      <c r="D9" s="103"/>
      <c r="E9" s="103"/>
    </row>
    <row r="10" spans="1:10" ht="32.4" customHeight="1" x14ac:dyDescent="0.3">
      <c r="A10" s="103" t="s">
        <v>364</v>
      </c>
      <c r="B10" s="103"/>
      <c r="C10" s="103"/>
      <c r="D10" s="103"/>
      <c r="E10" s="103"/>
    </row>
  </sheetData>
  <mergeCells count="3">
    <mergeCell ref="A8:E8"/>
    <mergeCell ref="A9:E9"/>
    <mergeCell ref="A10:E10"/>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C00C-DE36-4E52-B76A-108765A236DC}">
  <dimension ref="A1:P19"/>
  <sheetViews>
    <sheetView workbookViewId="0">
      <selection sqref="A1:C8"/>
    </sheetView>
  </sheetViews>
  <sheetFormatPr defaultRowHeight="14.4" x14ac:dyDescent="0.3"/>
  <cols>
    <col min="1" max="1" width="35.88671875" customWidth="1"/>
    <col min="7" max="7" width="18.5546875" customWidth="1"/>
  </cols>
  <sheetData>
    <row r="1" spans="1:16" ht="27" x14ac:dyDescent="0.35">
      <c r="A1" s="77" t="s">
        <v>133</v>
      </c>
      <c r="B1" s="78" t="s">
        <v>52</v>
      </c>
      <c r="C1" s="78" t="s">
        <v>53</v>
      </c>
      <c r="G1" s="14" t="s">
        <v>365</v>
      </c>
      <c r="H1" t="s">
        <v>46</v>
      </c>
      <c r="I1" t="s">
        <v>47</v>
      </c>
      <c r="J1" t="s">
        <v>48</v>
      </c>
      <c r="K1" t="s">
        <v>49</v>
      </c>
      <c r="L1" t="s">
        <v>50</v>
      </c>
      <c r="M1" t="s">
        <v>51</v>
      </c>
      <c r="N1" t="s">
        <v>52</v>
      </c>
      <c r="O1" t="s">
        <v>53</v>
      </c>
    </row>
    <row r="2" spans="1:16" ht="15.6" x14ac:dyDescent="0.3">
      <c r="A2" s="79" t="s">
        <v>128</v>
      </c>
      <c r="B2" s="62">
        <f>'MASTER P&amp;L'!H25</f>
        <v>44</v>
      </c>
      <c r="C2" s="62">
        <f>'MASTER P&amp;L'!I25</f>
        <v>62</v>
      </c>
      <c r="G2" s="30" t="s">
        <v>136</v>
      </c>
      <c r="H2">
        <f>'MASTER P&amp;L'!B$34/'MASTER P&amp;L'!B$38</f>
        <v>4.721393034825871</v>
      </c>
      <c r="I2">
        <f>'MASTER P&amp;L'!C$34/'MASTER P&amp;L'!C$38</f>
        <v>6.780246913580247</v>
      </c>
      <c r="J2">
        <f>'MASTER P&amp;L'!D$34/'MASTER P&amp;L'!D$38</f>
        <v>8.4499999999999993</v>
      </c>
      <c r="K2">
        <f>'MASTER P&amp;L'!E$34/'MASTER P&amp;L'!E$38</f>
        <v>9.4787940725600421</v>
      </c>
      <c r="L2">
        <f>'MASTER P&amp;L'!F$34/'MASTER P&amp;L'!F$38</f>
        <v>1.7858980957282551</v>
      </c>
      <c r="M2">
        <f>'MASTER P&amp;L'!G$34/'MASTER P&amp;L'!G$38</f>
        <v>7.3901940755873339</v>
      </c>
      <c r="N2">
        <f>'MASTER P&amp;L'!H$34/'MASTER P&amp;L'!H$38</f>
        <v>0.27247956403269757</v>
      </c>
      <c r="O2">
        <f>'MASTER P&amp;L'!I$34/'MASTER P&amp;L'!I$38</f>
        <v>-0.18477043673012319</v>
      </c>
    </row>
    <row r="3" spans="1:16" ht="15.6" x14ac:dyDescent="0.3">
      <c r="A3" s="79" t="s">
        <v>129</v>
      </c>
      <c r="B3" s="62">
        <f>'MASTER P&amp;L'!H26</f>
        <v>-199</v>
      </c>
      <c r="C3" s="62">
        <f>'MASTER P&amp;L'!I26</f>
        <v>-242</v>
      </c>
      <c r="G3" s="9" t="s">
        <v>96</v>
      </c>
      <c r="H3">
        <f>'MASTER P&amp;L'!B$36</f>
        <v>4.72</v>
      </c>
      <c r="I3">
        <f>'MASTER P&amp;L'!C$36</f>
        <v>6.78</v>
      </c>
      <c r="J3">
        <f>'MASTER P&amp;L'!D$36</f>
        <v>8.4499999999999993</v>
      </c>
      <c r="K3">
        <f>'MASTER P&amp;L'!E$36</f>
        <v>9.48</v>
      </c>
      <c r="L3">
        <f>'MASTER P&amp;L'!F$36</f>
        <v>1.79</v>
      </c>
      <c r="M3">
        <f>'MASTER P&amp;L'!G$36</f>
        <v>7.39</v>
      </c>
      <c r="N3">
        <f>'MASTER P&amp;L'!H$36</f>
        <v>0.27</v>
      </c>
      <c r="O3">
        <f>'MASTER P&amp;L'!I$36</f>
        <v>-0.18</v>
      </c>
    </row>
    <row r="4" spans="1:16" ht="16.2" x14ac:dyDescent="0.35">
      <c r="A4" s="79" t="s">
        <v>130</v>
      </c>
      <c r="B4" s="62">
        <f>'MASTER P&amp;L'!H27</f>
        <v>232</v>
      </c>
      <c r="C4" s="62">
        <f>'MASTER P&amp;L'!I27</f>
        <v>175</v>
      </c>
      <c r="G4" s="8" t="s">
        <v>137</v>
      </c>
    </row>
    <row r="5" spans="1:16" ht="15.6" x14ac:dyDescent="0.3">
      <c r="A5" s="79" t="s">
        <v>131</v>
      </c>
      <c r="B5" s="62">
        <f>'MASTER P&amp;L'!H28</f>
        <v>-174</v>
      </c>
      <c r="C5" s="62">
        <f>'MASTER P&amp;L'!I28</f>
        <v>-201</v>
      </c>
    </row>
    <row r="6" spans="1:16" ht="31.8" x14ac:dyDescent="0.35">
      <c r="A6" s="79" t="s">
        <v>132</v>
      </c>
      <c r="B6" s="62">
        <f>'MASTER P&amp;L'!H34</f>
        <v>50</v>
      </c>
      <c r="C6" s="62">
        <f>'MASTER P&amp;L'!I34</f>
        <v>-33</v>
      </c>
      <c r="G6" s="28" t="s">
        <v>138</v>
      </c>
      <c r="J6" s="31" t="s">
        <v>139</v>
      </c>
    </row>
    <row r="7" spans="1:16" ht="30" customHeight="1" x14ac:dyDescent="0.35">
      <c r="A7" s="79" t="s">
        <v>134</v>
      </c>
      <c r="B7" s="80">
        <f>'MASTER P&amp;L'!H23</f>
        <v>1.7000000000000001E-2</v>
      </c>
      <c r="C7" s="62">
        <f>'MASTER P&amp;L'!I23</f>
        <v>1.7000000000000001E-2</v>
      </c>
      <c r="J7" s="15">
        <f>(('MASTER P&amp;L'!I32-'MASTER P&amp;L'!E32)/'MASTER P&amp;L'!E32)*100</f>
        <v>-101.39484978540771</v>
      </c>
    </row>
    <row r="8" spans="1:16" ht="22.2" customHeight="1" x14ac:dyDescent="0.3">
      <c r="A8" s="81" t="s">
        <v>135</v>
      </c>
      <c r="B8" s="62">
        <f>('MASTER P&amp;L'!H34/'MASTER P&amp;L'!H6)*100</f>
        <v>0.2221136333348141</v>
      </c>
      <c r="C8" s="62">
        <f>('MASTER P&amp;L'!I34/'MASTER P&amp;L'!I6)*100</f>
        <v>-0.15401129416157186</v>
      </c>
    </row>
    <row r="9" spans="1:16" ht="20.399999999999999" x14ac:dyDescent="0.35">
      <c r="G9" s="28" t="s">
        <v>140</v>
      </c>
      <c r="K9" s="31" t="s">
        <v>141</v>
      </c>
    </row>
    <row r="11" spans="1:16" x14ac:dyDescent="0.3">
      <c r="K11" s="15">
        <f>(('MASTER P&amp;L'!I38-'MASTER P&amp;L'!E38)/'MASTER P&amp;L'!E38)*100</f>
        <v>-8.7378640776699008</v>
      </c>
    </row>
    <row r="13" spans="1:16" ht="18.600000000000001" customHeight="1" x14ac:dyDescent="0.3">
      <c r="G13" s="103" t="s">
        <v>142</v>
      </c>
      <c r="H13" s="103"/>
      <c r="I13" s="103"/>
      <c r="J13" s="103"/>
      <c r="K13" s="103"/>
      <c r="L13" s="103"/>
      <c r="M13" s="103"/>
      <c r="N13" s="103"/>
      <c r="O13" s="103"/>
      <c r="P13" s="103"/>
    </row>
    <row r="14" spans="1:16" x14ac:dyDescent="0.3">
      <c r="G14" s="103"/>
      <c r="H14" s="103"/>
      <c r="I14" s="103"/>
      <c r="J14" s="103"/>
      <c r="K14" s="103"/>
      <c r="L14" s="103"/>
      <c r="M14" s="103"/>
      <c r="N14" s="103"/>
      <c r="O14" s="103"/>
      <c r="P14" s="103"/>
    </row>
    <row r="15" spans="1:16" x14ac:dyDescent="0.3">
      <c r="G15" s="103"/>
      <c r="H15" s="103"/>
      <c r="I15" s="103"/>
      <c r="J15" s="103"/>
      <c r="K15" s="103"/>
      <c r="L15" s="103"/>
      <c r="M15" s="103"/>
      <c r="N15" s="103"/>
      <c r="O15" s="103"/>
      <c r="P15" s="103"/>
    </row>
    <row r="16" spans="1:16" x14ac:dyDescent="0.3">
      <c r="G16" s="103"/>
      <c r="H16" s="103"/>
      <c r="I16" s="103"/>
      <c r="J16" s="103"/>
      <c r="K16" s="103"/>
      <c r="L16" s="103"/>
      <c r="M16" s="103"/>
      <c r="N16" s="103"/>
      <c r="O16" s="103"/>
      <c r="P16" s="103"/>
    </row>
    <row r="17" spans="7:16" x14ac:dyDescent="0.3">
      <c r="G17" s="103"/>
      <c r="H17" s="103"/>
      <c r="I17" s="103"/>
      <c r="J17" s="103"/>
      <c r="K17" s="103"/>
      <c r="L17" s="103"/>
      <c r="M17" s="103"/>
      <c r="N17" s="103"/>
      <c r="O17" s="103"/>
      <c r="P17" s="103"/>
    </row>
    <row r="18" spans="7:16" x14ac:dyDescent="0.3">
      <c r="G18" s="103"/>
      <c r="H18" s="103"/>
      <c r="I18" s="103"/>
      <c r="J18" s="103"/>
      <c r="K18" s="103"/>
      <c r="L18" s="103"/>
      <c r="M18" s="103"/>
      <c r="N18" s="103"/>
      <c r="O18" s="103"/>
      <c r="P18" s="103"/>
    </row>
    <row r="19" spans="7:16" x14ac:dyDescent="0.3">
      <c r="G19" s="103"/>
      <c r="H19" s="103"/>
      <c r="I19" s="103"/>
      <c r="J19" s="103"/>
      <c r="K19" s="103"/>
      <c r="L19" s="103"/>
      <c r="M19" s="103"/>
      <c r="N19" s="103"/>
      <c r="O19" s="103"/>
      <c r="P19" s="103"/>
    </row>
  </sheetData>
  <mergeCells count="1">
    <mergeCell ref="G13:P19"/>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485E-E717-41C4-A84E-23BB7D8524AF}">
  <dimension ref="A1:I20"/>
  <sheetViews>
    <sheetView workbookViewId="0">
      <selection activeCell="O9" sqref="O9"/>
    </sheetView>
  </sheetViews>
  <sheetFormatPr defaultRowHeight="14.4" x14ac:dyDescent="0.3"/>
  <sheetData>
    <row r="1" spans="1:9" ht="15.6" x14ac:dyDescent="0.3">
      <c r="A1" s="18" t="s">
        <v>143</v>
      </c>
      <c r="B1" s="18"/>
      <c r="C1" s="18"/>
      <c r="D1" s="18"/>
      <c r="E1" s="18"/>
      <c r="F1" s="18"/>
    </row>
    <row r="3" spans="1:9" x14ac:dyDescent="0.3">
      <c r="A3" t="s">
        <v>145</v>
      </c>
      <c r="B3" t="s">
        <v>144</v>
      </c>
      <c r="E3" s="15">
        <f>'MASTER P&amp;L'!I29*100</f>
        <v>114.9</v>
      </c>
    </row>
    <row r="5" spans="1:9" ht="15" x14ac:dyDescent="0.35">
      <c r="A5" s="8" t="s">
        <v>146</v>
      </c>
    </row>
    <row r="6" spans="1:9" x14ac:dyDescent="0.3">
      <c r="C6" s="15">
        <f>(ABS('MASTER P&amp;L'!I28/'MASTER P&amp;L'!I27)*100)</f>
        <v>114.85714285714286</v>
      </c>
    </row>
    <row r="8" spans="1:9" ht="15" customHeight="1" x14ac:dyDescent="0.3">
      <c r="A8" s="104" t="s">
        <v>147</v>
      </c>
      <c r="B8" s="104"/>
      <c r="C8" s="104"/>
      <c r="D8" s="104"/>
      <c r="E8" s="104"/>
      <c r="F8" s="104"/>
      <c r="G8" s="104"/>
      <c r="H8" s="104"/>
      <c r="I8" s="104"/>
    </row>
    <row r="9" spans="1:9" ht="14.4" customHeight="1" x14ac:dyDescent="0.3">
      <c r="A9" s="104"/>
      <c r="B9" s="104"/>
      <c r="C9" s="104"/>
      <c r="D9" s="104"/>
      <c r="E9" s="104"/>
      <c r="F9" s="104"/>
      <c r="G9" s="104"/>
      <c r="H9" s="104"/>
      <c r="I9" s="104"/>
    </row>
    <row r="11" spans="1:9" x14ac:dyDescent="0.3">
      <c r="A11" s="103" t="s">
        <v>148</v>
      </c>
      <c r="B11" s="103"/>
      <c r="C11" s="103"/>
      <c r="D11" s="103"/>
      <c r="E11" s="103"/>
      <c r="F11" s="103"/>
      <c r="G11" s="103"/>
      <c r="H11" s="103"/>
      <c r="I11" s="103"/>
    </row>
    <row r="12" spans="1:9" x14ac:dyDescent="0.3">
      <c r="A12" s="103"/>
      <c r="B12" s="103"/>
      <c r="C12" s="103"/>
      <c r="D12" s="103"/>
      <c r="E12" s="103"/>
      <c r="F12" s="103"/>
      <c r="G12" s="103"/>
      <c r="H12" s="103"/>
      <c r="I12" s="103"/>
    </row>
    <row r="13" spans="1:9" x14ac:dyDescent="0.3">
      <c r="A13" s="103"/>
      <c r="B13" s="103"/>
      <c r="C13" s="103"/>
      <c r="D13" s="103"/>
      <c r="E13" s="103"/>
      <c r="F13" s="103"/>
      <c r="G13" s="103"/>
      <c r="H13" s="103"/>
      <c r="I13" s="103"/>
    </row>
    <row r="14" spans="1:9" x14ac:dyDescent="0.3">
      <c r="A14" s="103"/>
      <c r="B14" s="103"/>
      <c r="C14" s="103"/>
      <c r="D14" s="103"/>
      <c r="E14" s="103"/>
      <c r="F14" s="103"/>
      <c r="G14" s="103"/>
      <c r="H14" s="103"/>
      <c r="I14" s="103"/>
    </row>
    <row r="15" spans="1:9" x14ac:dyDescent="0.3">
      <c r="A15" s="103"/>
      <c r="B15" s="103"/>
      <c r="C15" s="103"/>
      <c r="D15" s="103"/>
      <c r="E15" s="103"/>
      <c r="F15" s="103"/>
      <c r="G15" s="103"/>
      <c r="H15" s="103"/>
      <c r="I15" s="103"/>
    </row>
    <row r="20" spans="5:5" x14ac:dyDescent="0.3">
      <c r="E20" s="13"/>
    </row>
  </sheetData>
  <mergeCells count="2">
    <mergeCell ref="A8:I9"/>
    <mergeCell ref="A11:I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D0A2-0D1B-4977-A8C8-0492B0CC6F18}">
  <dimension ref="A1:S23"/>
  <sheetViews>
    <sheetView tabSelected="1" workbookViewId="0">
      <selection activeCell="G11" sqref="G11"/>
    </sheetView>
  </sheetViews>
  <sheetFormatPr defaultRowHeight="14.4" x14ac:dyDescent="0.3"/>
  <cols>
    <col min="1" max="1" width="15.77734375" customWidth="1"/>
    <col min="2" max="2" width="14.21875" customWidth="1"/>
    <col min="3" max="3" width="20.33203125" customWidth="1"/>
  </cols>
  <sheetData>
    <row r="1" spans="1:19" x14ac:dyDescent="0.3">
      <c r="A1" s="62" t="s">
        <v>164</v>
      </c>
      <c r="B1" s="62" t="s">
        <v>165</v>
      </c>
      <c r="C1" s="62" t="s">
        <v>166</v>
      </c>
      <c r="J1" s="70" t="s">
        <v>171</v>
      </c>
      <c r="K1" s="71"/>
      <c r="L1" s="72" t="s">
        <v>172</v>
      </c>
      <c r="M1" s="72" t="s">
        <v>173</v>
      </c>
      <c r="N1" s="72" t="s">
        <v>174</v>
      </c>
      <c r="O1" s="72" t="s">
        <v>175</v>
      </c>
      <c r="P1" s="72" t="s">
        <v>176</v>
      </c>
      <c r="Q1" s="72" t="s">
        <v>177</v>
      </c>
      <c r="R1" s="72" t="s">
        <v>178</v>
      </c>
      <c r="S1" s="72" t="s">
        <v>179</v>
      </c>
    </row>
    <row r="2" spans="1:19" x14ac:dyDescent="0.3">
      <c r="A2" s="62" t="s">
        <v>167</v>
      </c>
      <c r="B2" s="64">
        <v>10073</v>
      </c>
      <c r="C2" s="64">
        <v>12470</v>
      </c>
    </row>
    <row r="3" spans="1:19" x14ac:dyDescent="0.3">
      <c r="A3" s="62" t="s">
        <v>168</v>
      </c>
      <c r="B3" s="64">
        <v>7264</v>
      </c>
      <c r="C3" s="64">
        <v>7757</v>
      </c>
      <c r="J3" s="73" t="s">
        <v>180</v>
      </c>
      <c r="K3" s="74"/>
      <c r="L3" s="74"/>
      <c r="M3" s="74"/>
      <c r="N3" s="74"/>
      <c r="O3" s="74"/>
      <c r="P3" s="74"/>
      <c r="Q3" s="74"/>
      <c r="R3" s="74"/>
      <c r="S3" s="74"/>
    </row>
    <row r="4" spans="1:19" x14ac:dyDescent="0.3">
      <c r="A4" s="62" t="s">
        <v>169</v>
      </c>
      <c r="B4" s="64">
        <v>1146</v>
      </c>
      <c r="C4" s="64">
        <v>1200</v>
      </c>
      <c r="J4" s="67" t="s">
        <v>167</v>
      </c>
      <c r="K4" s="62"/>
      <c r="L4" s="68" t="s">
        <v>181</v>
      </c>
      <c r="M4" s="68" t="s">
        <v>182</v>
      </c>
      <c r="N4" s="68" t="s">
        <v>183</v>
      </c>
      <c r="O4" s="68" t="s">
        <v>184</v>
      </c>
      <c r="P4" s="68" t="s">
        <v>185</v>
      </c>
      <c r="Q4" s="68" t="s">
        <v>186</v>
      </c>
      <c r="R4" s="68" t="s">
        <v>187</v>
      </c>
      <c r="S4" s="68" t="s">
        <v>188</v>
      </c>
    </row>
    <row r="5" spans="1:19" x14ac:dyDescent="0.3">
      <c r="A5" s="62" t="s">
        <v>170</v>
      </c>
      <c r="B5" s="64">
        <v>18483</v>
      </c>
      <c r="C5" s="64">
        <v>21427</v>
      </c>
      <c r="J5" s="67" t="s">
        <v>189</v>
      </c>
      <c r="K5" s="62"/>
      <c r="L5" s="68" t="s">
        <v>190</v>
      </c>
      <c r="M5" s="68" t="s">
        <v>191</v>
      </c>
      <c r="N5" s="68" t="s">
        <v>192</v>
      </c>
      <c r="O5" s="68" t="s">
        <v>193</v>
      </c>
      <c r="P5" s="68" t="s">
        <v>194</v>
      </c>
      <c r="Q5" s="68" t="s">
        <v>195</v>
      </c>
      <c r="R5" s="68" t="s">
        <v>196</v>
      </c>
      <c r="S5" s="68" t="s">
        <v>197</v>
      </c>
    </row>
    <row r="6" spans="1:19" x14ac:dyDescent="0.3">
      <c r="J6" s="67" t="s">
        <v>169</v>
      </c>
      <c r="K6" s="62"/>
      <c r="L6" s="68" t="s">
        <v>198</v>
      </c>
      <c r="M6" s="68" t="s">
        <v>199</v>
      </c>
      <c r="N6" s="68" t="s">
        <v>200</v>
      </c>
      <c r="O6" s="68" t="s">
        <v>201</v>
      </c>
      <c r="P6" s="68" t="s">
        <v>202</v>
      </c>
      <c r="Q6" s="68" t="s">
        <v>203</v>
      </c>
      <c r="R6" s="68" t="s">
        <v>204</v>
      </c>
      <c r="S6" s="68" t="s">
        <v>205</v>
      </c>
    </row>
    <row r="7" spans="1:19" x14ac:dyDescent="0.3">
      <c r="J7" s="67" t="s">
        <v>167</v>
      </c>
      <c r="K7" s="62"/>
      <c r="L7" s="68" t="s">
        <v>181</v>
      </c>
      <c r="M7" s="68" t="s">
        <v>182</v>
      </c>
      <c r="N7" s="68" t="s">
        <v>183</v>
      </c>
      <c r="O7" s="68" t="s">
        <v>184</v>
      </c>
      <c r="P7" s="68" t="s">
        <v>185</v>
      </c>
      <c r="Q7" s="68" t="s">
        <v>186</v>
      </c>
      <c r="R7" s="68" t="s">
        <v>187</v>
      </c>
      <c r="S7" s="68" t="s">
        <v>188</v>
      </c>
    </row>
    <row r="8" spans="1:19" x14ac:dyDescent="0.3">
      <c r="A8" s="62" t="s">
        <v>164</v>
      </c>
      <c r="B8" s="62" t="s">
        <v>214</v>
      </c>
      <c r="C8" s="62" t="s">
        <v>215</v>
      </c>
      <c r="D8" s="62" t="s">
        <v>163</v>
      </c>
      <c r="J8" s="70" t="s">
        <v>153</v>
      </c>
      <c r="K8" s="71"/>
      <c r="L8" s="72" t="s">
        <v>206</v>
      </c>
      <c r="M8" s="72" t="s">
        <v>207</v>
      </c>
      <c r="N8" s="72" t="s">
        <v>208</v>
      </c>
      <c r="O8" s="72" t="s">
        <v>209</v>
      </c>
      <c r="P8" s="72" t="s">
        <v>210</v>
      </c>
      <c r="Q8" s="72" t="s">
        <v>211</v>
      </c>
      <c r="R8" s="72" t="s">
        <v>212</v>
      </c>
      <c r="S8" s="72" t="s">
        <v>213</v>
      </c>
    </row>
    <row r="9" spans="1:19" x14ac:dyDescent="0.3">
      <c r="A9" s="62" t="s">
        <v>167</v>
      </c>
      <c r="B9" s="63">
        <v>0.54500000000000004</v>
      </c>
      <c r="C9" s="63">
        <v>0.58199999999999996</v>
      </c>
      <c r="D9" s="62" t="s">
        <v>216</v>
      </c>
    </row>
    <row r="10" spans="1:19" x14ac:dyDescent="0.3">
      <c r="A10" s="62" t="s">
        <v>168</v>
      </c>
      <c r="B10" s="63">
        <v>0.39300000000000002</v>
      </c>
      <c r="C10" s="63">
        <v>0.36199999999999999</v>
      </c>
      <c r="D10" s="62" t="s">
        <v>217</v>
      </c>
    </row>
    <row r="11" spans="1:19" x14ac:dyDescent="0.3">
      <c r="A11" s="62" t="s">
        <v>169</v>
      </c>
      <c r="B11" s="63">
        <v>6.2E-2</v>
      </c>
      <c r="C11" s="63">
        <v>5.6000000000000001E-2</v>
      </c>
      <c r="D11" s="62" t="s">
        <v>218</v>
      </c>
      <c r="J11" s="73" t="s">
        <v>219</v>
      </c>
      <c r="K11" s="74"/>
      <c r="L11" s="74"/>
      <c r="M11" s="74"/>
      <c r="N11" s="74"/>
      <c r="O11" s="74"/>
      <c r="P11" s="74"/>
      <c r="Q11" s="74"/>
      <c r="R11" s="74"/>
      <c r="S11" s="74"/>
    </row>
    <row r="12" spans="1:19" x14ac:dyDescent="0.3">
      <c r="J12" s="67" t="s">
        <v>220</v>
      </c>
      <c r="K12" s="62"/>
      <c r="L12" s="68" t="s">
        <v>221</v>
      </c>
      <c r="M12" s="68" t="s">
        <v>222</v>
      </c>
      <c r="N12" s="68" t="s">
        <v>223</v>
      </c>
      <c r="O12" s="68" t="s">
        <v>224</v>
      </c>
      <c r="P12" s="68" t="s">
        <v>225</v>
      </c>
      <c r="Q12" s="68" t="s">
        <v>226</v>
      </c>
      <c r="R12" s="68" t="s">
        <v>212</v>
      </c>
      <c r="S12" s="68" t="s">
        <v>213</v>
      </c>
    </row>
    <row r="13" spans="1:19" x14ac:dyDescent="0.3">
      <c r="J13" s="67" t="s">
        <v>227</v>
      </c>
      <c r="K13" s="69" t="s">
        <v>228</v>
      </c>
      <c r="L13" s="68" t="s">
        <v>229</v>
      </c>
      <c r="M13" s="68" t="s">
        <v>230</v>
      </c>
      <c r="N13" s="68" t="s">
        <v>231</v>
      </c>
      <c r="O13" s="68" t="s">
        <v>232</v>
      </c>
      <c r="P13" s="68" t="s">
        <v>233</v>
      </c>
      <c r="Q13" s="68" t="s">
        <v>234</v>
      </c>
      <c r="R13" s="68" t="s">
        <v>235</v>
      </c>
      <c r="S13" s="68" t="s">
        <v>235</v>
      </c>
    </row>
    <row r="14" spans="1:19" x14ac:dyDescent="0.3">
      <c r="A14" s="62" t="s">
        <v>236</v>
      </c>
      <c r="B14" s="62" t="s">
        <v>165</v>
      </c>
      <c r="C14" s="62" t="s">
        <v>166</v>
      </c>
      <c r="J14" s="65" t="s">
        <v>153</v>
      </c>
      <c r="K14" s="62"/>
      <c r="L14" s="66" t="s">
        <v>206</v>
      </c>
      <c r="M14" s="66" t="s">
        <v>207</v>
      </c>
      <c r="N14" s="66" t="s">
        <v>208</v>
      </c>
      <c r="O14" s="66" t="s">
        <v>209</v>
      </c>
      <c r="P14" s="66" t="s">
        <v>210</v>
      </c>
      <c r="Q14" s="66" t="s">
        <v>211</v>
      </c>
      <c r="R14" s="66" t="s">
        <v>212</v>
      </c>
      <c r="S14" s="66" t="s">
        <v>213</v>
      </c>
    </row>
    <row r="15" spans="1:19" x14ac:dyDescent="0.3">
      <c r="A15" s="62" t="s">
        <v>220</v>
      </c>
      <c r="B15" s="64">
        <v>16746</v>
      </c>
      <c r="C15" s="64">
        <v>21427</v>
      </c>
    </row>
    <row r="16" spans="1:19" x14ac:dyDescent="0.3">
      <c r="A16" s="62" t="s">
        <v>227</v>
      </c>
      <c r="B16" s="64">
        <v>1737</v>
      </c>
      <c r="C16" s="62" t="s">
        <v>235</v>
      </c>
    </row>
    <row r="17" spans="1:5" x14ac:dyDescent="0.3">
      <c r="A17" s="62" t="s">
        <v>153</v>
      </c>
      <c r="B17" s="64">
        <v>18483</v>
      </c>
      <c r="C17" s="64">
        <v>21427</v>
      </c>
    </row>
    <row r="19" spans="1:5" ht="15" x14ac:dyDescent="0.3">
      <c r="A19" s="108" t="s">
        <v>242</v>
      </c>
      <c r="B19" s="109"/>
      <c r="C19" s="20" t="s">
        <v>241</v>
      </c>
    </row>
    <row r="20" spans="1:5" ht="33.6" customHeight="1" x14ac:dyDescent="0.3">
      <c r="A20" s="110" t="s">
        <v>237</v>
      </c>
      <c r="B20" s="109"/>
      <c r="C20" s="101" t="s">
        <v>366</v>
      </c>
      <c r="D20" s="101"/>
      <c r="E20" s="101"/>
    </row>
    <row r="21" spans="1:5" ht="30" customHeight="1" x14ac:dyDescent="0.3">
      <c r="A21" s="110" t="s">
        <v>239</v>
      </c>
      <c r="B21" s="109"/>
      <c r="C21" s="103" t="s">
        <v>367</v>
      </c>
      <c r="D21" s="103"/>
      <c r="E21" s="103"/>
    </row>
    <row r="22" spans="1:5" ht="27.6" customHeight="1" x14ac:dyDescent="0.3">
      <c r="A22" s="110" t="s">
        <v>238</v>
      </c>
      <c r="B22" s="109"/>
    </row>
    <row r="23" spans="1:5" x14ac:dyDescent="0.3">
      <c r="A23" s="110" t="s">
        <v>240</v>
      </c>
      <c r="B23" s="109"/>
    </row>
  </sheetData>
  <mergeCells count="2">
    <mergeCell ref="C20:E20"/>
    <mergeCell ref="C21:E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8033-ABDE-49A1-A7D8-26B6029D858E}">
  <dimension ref="A1:P22"/>
  <sheetViews>
    <sheetView workbookViewId="0">
      <selection activeCell="H16" sqref="H16"/>
    </sheetView>
  </sheetViews>
  <sheetFormatPr defaultRowHeight="14.4" x14ac:dyDescent="0.3"/>
  <cols>
    <col min="1" max="1" width="22.77734375" customWidth="1"/>
    <col min="2" max="2" width="20.33203125" customWidth="1"/>
    <col min="3" max="3" width="16.88671875" customWidth="1"/>
    <col min="4" max="4" width="9.21875" customWidth="1"/>
    <col min="8" max="8" width="29.5546875" customWidth="1"/>
  </cols>
  <sheetData>
    <row r="1" spans="1:16" x14ac:dyDescent="0.3">
      <c r="A1" t="s">
        <v>149</v>
      </c>
      <c r="B1" t="s">
        <v>46</v>
      </c>
      <c r="C1" t="s">
        <v>53</v>
      </c>
      <c r="D1" t="s">
        <v>163</v>
      </c>
      <c r="H1" s="65" t="s">
        <v>243</v>
      </c>
      <c r="I1" s="66" t="s">
        <v>172</v>
      </c>
      <c r="J1" s="66" t="s">
        <v>173</v>
      </c>
      <c r="K1" s="66" t="s">
        <v>174</v>
      </c>
      <c r="L1" s="66" t="s">
        <v>175</v>
      </c>
      <c r="M1" s="66" t="s">
        <v>176</v>
      </c>
      <c r="N1" s="66" t="s">
        <v>177</v>
      </c>
      <c r="O1" s="66" t="s">
        <v>178</v>
      </c>
      <c r="P1" s="66" t="s">
        <v>179</v>
      </c>
    </row>
    <row r="2" spans="1:16" x14ac:dyDescent="0.3">
      <c r="A2" t="s">
        <v>150</v>
      </c>
      <c r="B2" s="17">
        <f>(I2/I5)</f>
        <v>0.6310122815560244</v>
      </c>
      <c r="C2" s="17">
        <f>P2/P5</f>
        <v>0.5199981331964344</v>
      </c>
      <c r="D2" s="17">
        <f>C2-B2</f>
        <v>-0.11101414835959</v>
      </c>
      <c r="H2" s="67" t="s">
        <v>150</v>
      </c>
      <c r="I2" s="68" t="s">
        <v>244</v>
      </c>
      <c r="J2" s="68" t="s">
        <v>245</v>
      </c>
      <c r="K2" s="68" t="s">
        <v>246</v>
      </c>
      <c r="L2" s="68" t="s">
        <v>247</v>
      </c>
      <c r="M2" s="68" t="s">
        <v>248</v>
      </c>
      <c r="N2" s="68" t="s">
        <v>249</v>
      </c>
      <c r="O2" s="68" t="s">
        <v>250</v>
      </c>
      <c r="P2" s="68" t="s">
        <v>251</v>
      </c>
    </row>
    <row r="3" spans="1:16" x14ac:dyDescent="0.3">
      <c r="A3" t="s">
        <v>151</v>
      </c>
      <c r="B3" s="17">
        <f>I3/I5</f>
        <v>0.31602012660282419</v>
      </c>
      <c r="C3" s="17">
        <f>P3/P5</f>
        <v>0.45297988519158072</v>
      </c>
      <c r="D3" s="17">
        <f t="shared" ref="D3:D4" si="0">C3-B3</f>
        <v>0.13695975858875653</v>
      </c>
      <c r="H3" s="67" t="s">
        <v>151</v>
      </c>
      <c r="I3" s="68" t="s">
        <v>252</v>
      </c>
      <c r="J3" s="68" t="s">
        <v>253</v>
      </c>
      <c r="K3" s="68" t="s">
        <v>254</v>
      </c>
      <c r="L3" s="68" t="s">
        <v>255</v>
      </c>
      <c r="M3" s="68" t="s">
        <v>256</v>
      </c>
      <c r="N3" s="68" t="s">
        <v>257</v>
      </c>
      <c r="O3" s="68" t="s">
        <v>258</v>
      </c>
      <c r="P3" s="68" t="s">
        <v>259</v>
      </c>
    </row>
    <row r="4" spans="1:16" x14ac:dyDescent="0.3">
      <c r="A4" t="s">
        <v>152</v>
      </c>
      <c r="B4" s="17">
        <f>I4/I5</f>
        <v>5.2967591841151331E-2</v>
      </c>
      <c r="C4" s="17">
        <f>P4/P5</f>
        <v>2.702198161198488E-2</v>
      </c>
      <c r="D4" s="17">
        <f t="shared" si="0"/>
        <v>-2.5945610229166451E-2</v>
      </c>
      <c r="H4" s="67" t="s">
        <v>152</v>
      </c>
      <c r="I4" s="68" t="s">
        <v>260</v>
      </c>
      <c r="J4" s="68" t="s">
        <v>261</v>
      </c>
      <c r="K4" s="68" t="s">
        <v>262</v>
      </c>
      <c r="L4" s="68" t="s">
        <v>263</v>
      </c>
      <c r="M4" s="68" t="s">
        <v>264</v>
      </c>
      <c r="N4" s="68" t="s">
        <v>265</v>
      </c>
      <c r="O4" s="68" t="s">
        <v>266</v>
      </c>
      <c r="P4" s="68" t="s">
        <v>267</v>
      </c>
    </row>
    <row r="5" spans="1:16" x14ac:dyDescent="0.3">
      <c r="A5" t="s">
        <v>153</v>
      </c>
      <c r="B5" s="17">
        <f>B2+B3+B4</f>
        <v>0.99999999999999989</v>
      </c>
      <c r="C5" s="17">
        <f>C2+C3+C4</f>
        <v>1</v>
      </c>
      <c r="D5" s="17"/>
      <c r="H5" s="65" t="s">
        <v>153</v>
      </c>
      <c r="I5" s="66" t="s">
        <v>206</v>
      </c>
      <c r="J5" s="66" t="s">
        <v>207</v>
      </c>
      <c r="K5" s="66" t="s">
        <v>208</v>
      </c>
      <c r="L5" s="66" t="s">
        <v>209</v>
      </c>
      <c r="M5" s="66" t="s">
        <v>210</v>
      </c>
      <c r="N5" s="66" t="s">
        <v>211</v>
      </c>
      <c r="O5" s="66" t="s">
        <v>212</v>
      </c>
      <c r="P5" s="66" t="s">
        <v>213</v>
      </c>
    </row>
    <row r="8" spans="1:16" ht="15" x14ac:dyDescent="0.35">
      <c r="A8" s="8" t="s">
        <v>154</v>
      </c>
    </row>
    <row r="10" spans="1:16" x14ac:dyDescent="0.3">
      <c r="A10" t="s">
        <v>155</v>
      </c>
    </row>
    <row r="11" spans="1:16" x14ac:dyDescent="0.3">
      <c r="B11" s="15">
        <f>(('MASTER P&amp;L'!I6-'MASTER P&amp;L'!B6)/'MASTER P&amp;L'!B6)*100</f>
        <v>15.928150192068388</v>
      </c>
    </row>
    <row r="13" spans="1:16" x14ac:dyDescent="0.3">
      <c r="A13" t="s">
        <v>157</v>
      </c>
    </row>
    <row r="14" spans="1:16" x14ac:dyDescent="0.3">
      <c r="B14" s="15">
        <f>((P2-I2)/I2)*100</f>
        <v>-4.4671182371602498</v>
      </c>
      <c r="C14" s="15"/>
    </row>
    <row r="16" spans="1:16" x14ac:dyDescent="0.3">
      <c r="A16" t="s">
        <v>156</v>
      </c>
    </row>
    <row r="17" spans="1:2" x14ac:dyDescent="0.3">
      <c r="B17" s="15">
        <f>((P3-I3)/I3)*100</f>
        <v>66.170176339667861</v>
      </c>
    </row>
    <row r="19" spans="1:2" x14ac:dyDescent="0.3">
      <c r="A19" s="32" t="s">
        <v>158</v>
      </c>
      <c r="B19" s="32" t="s">
        <v>159</v>
      </c>
    </row>
    <row r="20" spans="1:2" x14ac:dyDescent="0.3">
      <c r="A20" s="32" t="s">
        <v>160</v>
      </c>
      <c r="B20" s="33">
        <v>0.1593</v>
      </c>
    </row>
    <row r="21" spans="1:2" x14ac:dyDescent="0.3">
      <c r="A21" s="32" t="s">
        <v>161</v>
      </c>
      <c r="B21" s="33">
        <v>-4.4699999999999997E-2</v>
      </c>
    </row>
    <row r="22" spans="1:2" x14ac:dyDescent="0.3">
      <c r="A22" s="32" t="s">
        <v>162</v>
      </c>
      <c r="B22" s="33">
        <v>0.66169999999999995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4877-2440-4EB6-BDAD-B78B26DEA3E5}">
  <dimension ref="A1:O17"/>
  <sheetViews>
    <sheetView topLeftCell="B1" workbookViewId="0">
      <selection activeCell="B13" sqref="B13:C16"/>
    </sheetView>
  </sheetViews>
  <sheetFormatPr defaultRowHeight="14.4" x14ac:dyDescent="0.3"/>
  <cols>
    <col min="1" max="1" width="46.88671875" customWidth="1"/>
    <col min="2" max="2" width="19.109375" customWidth="1"/>
    <col min="3" max="3" width="24.44140625" customWidth="1"/>
    <col min="5" max="5" width="15.6640625" customWidth="1"/>
    <col min="6" max="6" width="20.77734375" customWidth="1"/>
    <col min="7" max="7" width="15.88671875" customWidth="1"/>
    <col min="8" max="8" width="16.88671875" customWidth="1"/>
  </cols>
  <sheetData>
    <row r="1" spans="1:15" ht="20.399999999999999" x14ac:dyDescent="0.3">
      <c r="A1" s="34" t="s">
        <v>268</v>
      </c>
      <c r="B1" s="28" t="s">
        <v>284</v>
      </c>
      <c r="E1" s="9" t="s">
        <v>285</v>
      </c>
      <c r="F1" s="9" t="s">
        <v>295</v>
      </c>
      <c r="G1" s="9" t="s">
        <v>294</v>
      </c>
      <c r="H1" s="9" t="s">
        <v>293</v>
      </c>
      <c r="I1" s="9" t="s">
        <v>292</v>
      </c>
      <c r="J1" s="9" t="s">
        <v>291</v>
      </c>
      <c r="K1" s="9" t="s">
        <v>290</v>
      </c>
      <c r="L1" s="9" t="s">
        <v>289</v>
      </c>
      <c r="M1" s="9" t="s">
        <v>288</v>
      </c>
      <c r="N1" s="9"/>
      <c r="O1" s="9"/>
    </row>
    <row r="2" spans="1:15" x14ac:dyDescent="0.3">
      <c r="A2" s="35" t="s">
        <v>269</v>
      </c>
      <c r="E2" s="9" t="s">
        <v>277</v>
      </c>
      <c r="F2" s="41">
        <v>7393</v>
      </c>
      <c r="G2" s="41">
        <v>7956</v>
      </c>
      <c r="H2" s="41">
        <v>7955</v>
      </c>
      <c r="I2" s="41">
        <v>8369</v>
      </c>
      <c r="J2" s="41">
        <v>7005</v>
      </c>
      <c r="K2" s="41">
        <v>7432</v>
      </c>
      <c r="L2" s="41">
        <v>7879</v>
      </c>
      <c r="M2" s="41">
        <v>7585</v>
      </c>
      <c r="N2" s="9"/>
      <c r="O2" s="9"/>
    </row>
    <row r="3" spans="1:15" x14ac:dyDescent="0.3">
      <c r="A3" s="35" t="s">
        <v>270</v>
      </c>
      <c r="B3" s="82" t="s">
        <v>280</v>
      </c>
      <c r="C3" s="82" t="s">
        <v>281</v>
      </c>
      <c r="E3" s="9" t="s">
        <v>270</v>
      </c>
      <c r="F3" s="41">
        <v>3068</v>
      </c>
      <c r="G3" s="41">
        <v>3947</v>
      </c>
      <c r="H3" s="41">
        <v>4361</v>
      </c>
      <c r="I3" s="41">
        <v>4917</v>
      </c>
      <c r="J3" s="41">
        <v>4127</v>
      </c>
      <c r="K3" s="41">
        <v>5330</v>
      </c>
      <c r="L3" s="41">
        <v>5921</v>
      </c>
      <c r="M3" s="41">
        <v>5142</v>
      </c>
      <c r="N3" s="9"/>
      <c r="O3" s="9"/>
    </row>
    <row r="4" spans="1:15" x14ac:dyDescent="0.3">
      <c r="A4" s="35" t="s">
        <v>271</v>
      </c>
      <c r="B4" s="62" t="s">
        <v>269</v>
      </c>
      <c r="C4" s="62" t="s">
        <v>277</v>
      </c>
      <c r="E4" s="9" t="s">
        <v>278</v>
      </c>
      <c r="F4" s="41">
        <v>2976</v>
      </c>
      <c r="G4" s="41">
        <v>3756</v>
      </c>
      <c r="H4" s="41">
        <v>4164</v>
      </c>
      <c r="I4" s="41">
        <v>4728</v>
      </c>
      <c r="J4" s="41">
        <v>4346</v>
      </c>
      <c r="K4" s="41">
        <v>4247</v>
      </c>
      <c r="L4" s="41">
        <v>3534</v>
      </c>
      <c r="M4" s="41">
        <v>3257</v>
      </c>
      <c r="N4" s="9"/>
      <c r="O4" s="9"/>
    </row>
    <row r="5" spans="1:15" x14ac:dyDescent="0.3">
      <c r="A5" s="35" t="s">
        <v>272</v>
      </c>
      <c r="B5" s="62" t="s">
        <v>282</v>
      </c>
      <c r="C5" s="62" t="s">
        <v>277</v>
      </c>
      <c r="E5" s="9" t="s">
        <v>279</v>
      </c>
      <c r="F5" s="41">
        <v>2421</v>
      </c>
      <c r="G5" s="41">
        <v>2716</v>
      </c>
      <c r="H5" s="41">
        <v>2761</v>
      </c>
      <c r="I5" s="41">
        <v>2931</v>
      </c>
      <c r="J5" s="41">
        <v>2342</v>
      </c>
      <c r="K5" s="41">
        <v>2060</v>
      </c>
      <c r="L5" s="41">
        <v>2656</v>
      </c>
      <c r="M5" s="41">
        <v>2807</v>
      </c>
      <c r="N5" s="9"/>
      <c r="O5" s="9"/>
    </row>
    <row r="6" spans="1:15" x14ac:dyDescent="0.3">
      <c r="A6" s="35" t="s">
        <v>273</v>
      </c>
      <c r="B6" s="62" t="s">
        <v>275</v>
      </c>
      <c r="C6" s="62" t="s">
        <v>277</v>
      </c>
      <c r="E6" s="9" t="s">
        <v>273</v>
      </c>
      <c r="F6" s="41">
        <v>1645</v>
      </c>
      <c r="G6" s="41">
        <v>1740</v>
      </c>
      <c r="H6" s="41">
        <v>1688</v>
      </c>
      <c r="I6" s="41">
        <v>1726</v>
      </c>
      <c r="J6" s="41">
        <v>1310</v>
      </c>
      <c r="K6" s="41">
        <v>1507</v>
      </c>
      <c r="L6" s="41">
        <v>1891</v>
      </c>
      <c r="M6" s="41">
        <v>2057</v>
      </c>
      <c r="N6" s="9"/>
      <c r="O6" s="9"/>
    </row>
    <row r="7" spans="1:15" x14ac:dyDescent="0.3">
      <c r="A7" s="35" t="s">
        <v>274</v>
      </c>
      <c r="B7" s="62" t="s">
        <v>270</v>
      </c>
      <c r="C7" s="62" t="s">
        <v>270</v>
      </c>
      <c r="E7" s="9" t="s">
        <v>152</v>
      </c>
      <c r="F7" s="9">
        <v>980</v>
      </c>
      <c r="G7" s="41">
        <v>1103</v>
      </c>
      <c r="H7" s="9">
        <v>986</v>
      </c>
      <c r="I7" s="9">
        <v>969</v>
      </c>
      <c r="J7" s="9">
        <v>714</v>
      </c>
      <c r="K7" s="9">
        <v>658</v>
      </c>
      <c r="L7" s="9">
        <v>630</v>
      </c>
      <c r="M7" s="9">
        <v>579</v>
      </c>
      <c r="N7" s="9"/>
      <c r="O7" s="9"/>
    </row>
    <row r="8" spans="1:15" x14ac:dyDescent="0.3">
      <c r="A8" s="35" t="s">
        <v>275</v>
      </c>
      <c r="B8" s="62" t="s">
        <v>278</v>
      </c>
      <c r="C8" s="62" t="s">
        <v>278</v>
      </c>
      <c r="E8" s="9" t="s">
        <v>153</v>
      </c>
      <c r="F8" s="41">
        <v>18483</v>
      </c>
      <c r="G8" s="41">
        <v>21218</v>
      </c>
      <c r="H8" s="41">
        <v>21915</v>
      </c>
      <c r="I8" s="41">
        <v>23640</v>
      </c>
      <c r="J8" s="41">
        <v>19844</v>
      </c>
      <c r="K8" s="41">
        <v>21234</v>
      </c>
      <c r="L8" s="41">
        <v>22511</v>
      </c>
      <c r="M8" s="41">
        <v>21427</v>
      </c>
      <c r="N8" s="9"/>
      <c r="O8" s="9"/>
    </row>
    <row r="9" spans="1:15" x14ac:dyDescent="0.3">
      <c r="A9" s="35" t="s">
        <v>152</v>
      </c>
      <c r="B9" s="62" t="s">
        <v>283</v>
      </c>
      <c r="C9" s="62" t="s">
        <v>279</v>
      </c>
    </row>
    <row r="10" spans="1:15" x14ac:dyDescent="0.3">
      <c r="B10" s="62" t="s">
        <v>273</v>
      </c>
      <c r="C10" s="62" t="s">
        <v>273</v>
      </c>
    </row>
    <row r="11" spans="1:15" x14ac:dyDescent="0.3">
      <c r="A11" s="34" t="s">
        <v>276</v>
      </c>
      <c r="B11" s="62" t="s">
        <v>152</v>
      </c>
      <c r="C11" s="62" t="s">
        <v>152</v>
      </c>
    </row>
    <row r="12" spans="1:15" x14ac:dyDescent="0.3">
      <c r="A12" s="35" t="s">
        <v>277</v>
      </c>
    </row>
    <row r="13" spans="1:15" ht="14.4" customHeight="1" x14ac:dyDescent="0.3">
      <c r="A13" s="35" t="s">
        <v>270</v>
      </c>
      <c r="B13" s="99" t="s">
        <v>359</v>
      </c>
      <c r="C13" s="99"/>
    </row>
    <row r="14" spans="1:15" ht="20.399999999999999" customHeight="1" x14ac:dyDescent="0.3">
      <c r="A14" s="35" t="s">
        <v>278</v>
      </c>
      <c r="B14" s="99"/>
      <c r="C14" s="99"/>
    </row>
    <row r="15" spans="1:15" ht="19.2" customHeight="1" x14ac:dyDescent="0.3">
      <c r="A15" s="35" t="s">
        <v>279</v>
      </c>
      <c r="B15" s="99" t="s">
        <v>360</v>
      </c>
      <c r="C15" s="99"/>
    </row>
    <row r="16" spans="1:15" ht="19.2" customHeight="1" x14ac:dyDescent="0.3">
      <c r="A16" s="35" t="s">
        <v>273</v>
      </c>
      <c r="B16" s="99" t="s">
        <v>361</v>
      </c>
      <c r="C16" s="99"/>
    </row>
    <row r="17" spans="1:1" x14ac:dyDescent="0.3">
      <c r="A17" s="35" t="s">
        <v>152</v>
      </c>
    </row>
  </sheetData>
  <mergeCells count="3">
    <mergeCell ref="B15:C15"/>
    <mergeCell ref="B16:C16"/>
    <mergeCell ref="B13:C14"/>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2CC3-1B2A-40D1-8829-99456705B24D}">
  <dimension ref="A1:D17"/>
  <sheetViews>
    <sheetView workbookViewId="0">
      <selection activeCell="G22" sqref="G22"/>
    </sheetView>
  </sheetViews>
  <sheetFormatPr defaultRowHeight="14.4" x14ac:dyDescent="0.3"/>
  <cols>
    <col min="1" max="1" width="14.88671875" bestFit="1" customWidth="1"/>
    <col min="2" max="2" width="21.44140625" customWidth="1"/>
    <col min="3" max="3" width="13.88671875" customWidth="1"/>
    <col min="4" max="4" width="33.6640625" customWidth="1"/>
  </cols>
  <sheetData>
    <row r="1" spans="1:4" x14ac:dyDescent="0.3">
      <c r="A1" s="40" t="s">
        <v>285</v>
      </c>
      <c r="B1" s="40" t="s">
        <v>286</v>
      </c>
      <c r="C1" s="40" t="s">
        <v>287</v>
      </c>
      <c r="D1" s="40" t="s">
        <v>296</v>
      </c>
    </row>
    <row r="2" spans="1:4" x14ac:dyDescent="0.3">
      <c r="A2" t="s">
        <v>277</v>
      </c>
      <c r="B2" s="16">
        <v>8369</v>
      </c>
      <c r="C2" s="16">
        <v>7585</v>
      </c>
      <c r="D2">
        <v>-784</v>
      </c>
    </row>
    <row r="3" spans="1:4" x14ac:dyDescent="0.3">
      <c r="A3" t="s">
        <v>270</v>
      </c>
      <c r="B3" s="16">
        <v>4917</v>
      </c>
      <c r="C3" s="16">
        <v>5142</v>
      </c>
      <c r="D3">
        <v>225</v>
      </c>
    </row>
    <row r="4" spans="1:4" x14ac:dyDescent="0.3">
      <c r="A4" t="s">
        <v>278</v>
      </c>
      <c r="B4" s="16">
        <v>4728</v>
      </c>
      <c r="C4" s="16">
        <v>3257</v>
      </c>
      <c r="D4" s="16">
        <v>-1471</v>
      </c>
    </row>
    <row r="5" spans="1:4" x14ac:dyDescent="0.3">
      <c r="A5" t="s">
        <v>279</v>
      </c>
      <c r="B5" s="16">
        <v>2931</v>
      </c>
      <c r="C5" s="16">
        <v>2807</v>
      </c>
      <c r="D5">
        <v>-124</v>
      </c>
    </row>
    <row r="6" spans="1:4" x14ac:dyDescent="0.3">
      <c r="A6" t="s">
        <v>273</v>
      </c>
      <c r="B6" s="16">
        <v>1726</v>
      </c>
      <c r="C6" s="16">
        <v>2057</v>
      </c>
      <c r="D6">
        <v>331</v>
      </c>
    </row>
    <row r="7" spans="1:4" x14ac:dyDescent="0.3">
      <c r="A7" t="s">
        <v>152</v>
      </c>
      <c r="B7">
        <v>969</v>
      </c>
      <c r="C7">
        <v>579</v>
      </c>
      <c r="D7">
        <v>-390</v>
      </c>
    </row>
    <row r="8" spans="1:4" x14ac:dyDescent="0.3">
      <c r="A8" t="s">
        <v>153</v>
      </c>
      <c r="B8" s="16">
        <v>23640</v>
      </c>
      <c r="C8" s="16">
        <v>21427</v>
      </c>
      <c r="D8" s="42">
        <v>-2213</v>
      </c>
    </row>
    <row r="12" spans="1:4" x14ac:dyDescent="0.3">
      <c r="A12" s="75" t="s">
        <v>297</v>
      </c>
      <c r="B12" s="32"/>
      <c r="C12" s="32"/>
    </row>
    <row r="13" spans="1:4" x14ac:dyDescent="0.3">
      <c r="A13" s="76">
        <f>C4-B4</f>
        <v>-1471</v>
      </c>
      <c r="B13" s="32" t="s">
        <v>299</v>
      </c>
      <c r="C13" s="32"/>
    </row>
    <row r="14" spans="1:4" x14ac:dyDescent="0.3">
      <c r="A14" s="75" t="s">
        <v>368</v>
      </c>
      <c r="B14" s="32"/>
      <c r="C14" s="32"/>
    </row>
    <row r="15" spans="1:4" x14ac:dyDescent="0.3">
      <c r="A15" s="75" t="s">
        <v>298</v>
      </c>
      <c r="B15" s="32"/>
      <c r="C15" s="32"/>
    </row>
    <row r="16" spans="1:4" x14ac:dyDescent="0.3">
      <c r="A16" s="76">
        <f>C6-B6</f>
        <v>331</v>
      </c>
      <c r="B16" s="32" t="s">
        <v>299</v>
      </c>
      <c r="C16" s="32"/>
    </row>
    <row r="17" spans="1:3" x14ac:dyDescent="0.3">
      <c r="A17" s="75" t="s">
        <v>369</v>
      </c>
      <c r="B17" s="32"/>
      <c r="C17" s="32"/>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A4F2-A9AD-4CB4-9EF2-114A52865AE4}">
  <dimension ref="A1:G23"/>
  <sheetViews>
    <sheetView workbookViewId="0">
      <selection activeCell="A5" sqref="A5:D13"/>
    </sheetView>
  </sheetViews>
  <sheetFormatPr defaultRowHeight="14.4" x14ac:dyDescent="0.3"/>
  <cols>
    <col min="2" max="2" width="20.44140625" customWidth="1"/>
    <col min="3" max="3" width="16.6640625" customWidth="1"/>
    <col min="4" max="4" width="28.44140625" customWidth="1"/>
  </cols>
  <sheetData>
    <row r="1" spans="1:7" x14ac:dyDescent="0.3">
      <c r="A1" s="105" t="s">
        <v>304</v>
      </c>
      <c r="B1" s="105"/>
      <c r="C1" s="105"/>
      <c r="D1" s="105"/>
      <c r="E1" s="105"/>
      <c r="F1" s="105"/>
      <c r="G1" s="105"/>
    </row>
    <row r="2" spans="1:7" x14ac:dyDescent="0.3">
      <c r="A2" s="105"/>
      <c r="B2" s="105"/>
      <c r="C2" s="105"/>
      <c r="D2" s="105"/>
      <c r="E2" s="105"/>
      <c r="F2" s="105"/>
      <c r="G2" s="105"/>
    </row>
    <row r="3" spans="1:7" x14ac:dyDescent="0.3">
      <c r="A3" s="105"/>
      <c r="B3" s="105"/>
      <c r="C3" s="105"/>
      <c r="D3" s="105"/>
      <c r="E3" s="105"/>
      <c r="F3" s="105"/>
      <c r="G3" s="105"/>
    </row>
    <row r="5" spans="1:7" x14ac:dyDescent="0.3">
      <c r="A5" t="s">
        <v>300</v>
      </c>
      <c r="B5" t="s">
        <v>301</v>
      </c>
      <c r="C5" t="s">
        <v>302</v>
      </c>
      <c r="D5" t="s">
        <v>303</v>
      </c>
    </row>
    <row r="6" spans="1:7" x14ac:dyDescent="0.3">
      <c r="A6" t="s">
        <v>46</v>
      </c>
      <c r="B6" s="16">
        <v>18483</v>
      </c>
      <c r="C6" s="16">
        <v>60617</v>
      </c>
      <c r="D6">
        <f>(B6*1000)/C6</f>
        <v>304.91446293943943</v>
      </c>
    </row>
    <row r="7" spans="1:7" x14ac:dyDescent="0.3">
      <c r="A7" t="s">
        <v>47</v>
      </c>
      <c r="B7" s="16">
        <v>21218</v>
      </c>
      <c r="C7" s="16">
        <v>56888</v>
      </c>
      <c r="D7">
        <f>(B7*1000)/C7</f>
        <v>372.97848403881312</v>
      </c>
    </row>
    <row r="8" spans="1:7" x14ac:dyDescent="0.3">
      <c r="A8" t="s">
        <v>48</v>
      </c>
      <c r="B8" s="16">
        <v>21915</v>
      </c>
      <c r="C8" s="16">
        <v>57016</v>
      </c>
      <c r="D8">
        <f t="shared" ref="D8:D13" si="0">(B8*1000)/C8</f>
        <v>384.36579205836961</v>
      </c>
    </row>
    <row r="9" spans="1:7" x14ac:dyDescent="0.3">
      <c r="A9" t="s">
        <v>49</v>
      </c>
      <c r="B9" s="16">
        <v>23640</v>
      </c>
      <c r="C9" s="16">
        <v>59533</v>
      </c>
      <c r="D9">
        <f t="shared" si="0"/>
        <v>397.09068919758789</v>
      </c>
    </row>
    <row r="10" spans="1:7" x14ac:dyDescent="0.3">
      <c r="A10" t="s">
        <v>50</v>
      </c>
      <c r="B10" s="16">
        <v>19844</v>
      </c>
      <c r="C10" s="16">
        <v>62285</v>
      </c>
      <c r="D10">
        <f t="shared" si="0"/>
        <v>318.59998394477003</v>
      </c>
    </row>
    <row r="11" spans="1:7" x14ac:dyDescent="0.3">
      <c r="A11" t="s">
        <v>51</v>
      </c>
      <c r="B11" s="16">
        <v>21234</v>
      </c>
      <c r="C11" s="16">
        <v>61401</v>
      </c>
      <c r="D11">
        <f t="shared" si="0"/>
        <v>345.82498656373673</v>
      </c>
    </row>
    <row r="12" spans="1:7" x14ac:dyDescent="0.3">
      <c r="A12" t="s">
        <v>52</v>
      </c>
      <c r="B12" s="16">
        <v>22511</v>
      </c>
      <c r="C12" s="16">
        <v>59258</v>
      </c>
      <c r="D12">
        <f t="shared" si="0"/>
        <v>379.88119747544636</v>
      </c>
    </row>
    <row r="13" spans="1:7" x14ac:dyDescent="0.3">
      <c r="A13" t="s">
        <v>53</v>
      </c>
      <c r="B13" s="16">
        <v>21427</v>
      </c>
      <c r="C13" s="16">
        <v>57069</v>
      </c>
      <c r="D13">
        <f t="shared" si="0"/>
        <v>375.45777917958964</v>
      </c>
    </row>
    <row r="15" spans="1:7" x14ac:dyDescent="0.3">
      <c r="A15" s="103" t="s">
        <v>305</v>
      </c>
      <c r="B15" s="104"/>
      <c r="C15" s="104"/>
      <c r="D15" s="104"/>
      <c r="E15" s="104"/>
    </row>
    <row r="16" spans="1:7" x14ac:dyDescent="0.3">
      <c r="A16" s="104"/>
      <c r="B16" s="104"/>
      <c r="C16" s="104"/>
      <c r="D16" s="104"/>
      <c r="E16" s="104"/>
    </row>
    <row r="17" spans="1:5" x14ac:dyDescent="0.3">
      <c r="A17" s="104"/>
      <c r="B17" s="104"/>
      <c r="C17" s="104"/>
      <c r="D17" s="104"/>
      <c r="E17" s="104"/>
    </row>
    <row r="18" spans="1:5" x14ac:dyDescent="0.3">
      <c r="A18" s="104"/>
      <c r="B18" s="104"/>
      <c r="C18" s="104"/>
      <c r="D18" s="104"/>
      <c r="E18" s="104"/>
    </row>
    <row r="19" spans="1:5" x14ac:dyDescent="0.3">
      <c r="A19" s="104"/>
      <c r="B19" s="104"/>
      <c r="C19" s="104"/>
      <c r="D19" s="104"/>
      <c r="E19" s="104"/>
    </row>
    <row r="20" spans="1:5" x14ac:dyDescent="0.3">
      <c r="A20" s="104"/>
      <c r="B20" s="104"/>
      <c r="C20" s="104"/>
      <c r="D20" s="104"/>
      <c r="E20" s="104"/>
    </row>
    <row r="21" spans="1:5" x14ac:dyDescent="0.3">
      <c r="A21" s="104"/>
      <c r="B21" s="104"/>
      <c r="C21" s="104"/>
      <c r="D21" s="104"/>
      <c r="E21" s="104"/>
    </row>
    <row r="22" spans="1:5" x14ac:dyDescent="0.3">
      <c r="A22" s="104"/>
      <c r="B22" s="104"/>
      <c r="C22" s="104"/>
      <c r="D22" s="104"/>
      <c r="E22" s="104"/>
    </row>
    <row r="23" spans="1:5" x14ac:dyDescent="0.3">
      <c r="A23" s="104"/>
      <c r="B23" s="104"/>
      <c r="C23" s="104"/>
      <c r="D23" s="104"/>
      <c r="E23" s="104"/>
    </row>
  </sheetData>
  <mergeCells count="2">
    <mergeCell ref="A1:G3"/>
    <mergeCell ref="A15:E23"/>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EFA9-B91A-44D2-878D-B157DACE2F38}">
  <sheetPr>
    <tabColor rgb="FFFF0000"/>
    <pageSetUpPr fitToPage="1"/>
  </sheetPr>
  <dimension ref="A1:S42"/>
  <sheetViews>
    <sheetView workbookViewId="0">
      <pane xSplit="1" ySplit="3" topLeftCell="B30" activePane="bottomRight" state="frozen"/>
      <selection pane="topRight" activeCell="B1" sqref="B1"/>
      <selection pane="bottomLeft" activeCell="A4" sqref="A4"/>
      <selection pane="bottomRight" activeCell="A3" sqref="A3:I42"/>
    </sheetView>
  </sheetViews>
  <sheetFormatPr defaultColWidth="15.77734375" defaultRowHeight="14.4" x14ac:dyDescent="0.3"/>
  <cols>
    <col min="1" max="2" width="30.21875" customWidth="1"/>
    <col min="3" max="9" width="20.77734375" customWidth="1"/>
  </cols>
  <sheetData>
    <row r="1" spans="1:19" ht="15" x14ac:dyDescent="0.35">
      <c r="A1" s="106" t="s">
        <v>306</v>
      </c>
      <c r="B1" s="106"/>
      <c r="C1" s="106"/>
      <c r="D1" s="106"/>
      <c r="E1" s="106"/>
      <c r="F1" s="106"/>
      <c r="G1" s="106"/>
      <c r="H1" s="106"/>
      <c r="I1" s="106"/>
      <c r="J1" s="8"/>
      <c r="K1" s="8"/>
      <c r="L1" s="8"/>
      <c r="M1" s="8"/>
      <c r="N1" s="8"/>
      <c r="O1" s="8"/>
      <c r="P1" s="8"/>
      <c r="Q1" s="8"/>
      <c r="R1" s="8"/>
      <c r="S1" s="8"/>
    </row>
    <row r="2" spans="1:19" ht="14.4" customHeight="1" x14ac:dyDescent="0.35">
      <c r="A2" s="107" t="s">
        <v>307</v>
      </c>
      <c r="B2" s="107"/>
      <c r="C2" s="107"/>
      <c r="D2" s="107"/>
      <c r="E2" s="107"/>
      <c r="F2" s="107"/>
      <c r="G2" s="107"/>
      <c r="H2" s="107"/>
      <c r="I2" s="107"/>
      <c r="J2" s="52"/>
      <c r="K2" s="52"/>
      <c r="L2" s="52"/>
      <c r="M2" s="52"/>
      <c r="N2" s="52"/>
      <c r="O2" s="52"/>
      <c r="P2" s="52"/>
      <c r="Q2" s="52"/>
      <c r="R2" s="52"/>
      <c r="S2" s="52"/>
    </row>
    <row r="3" spans="1:19" ht="15" thickBot="1" x14ac:dyDescent="0.35">
      <c r="A3" s="49" t="s">
        <v>0</v>
      </c>
      <c r="B3" s="50" t="s">
        <v>46</v>
      </c>
      <c r="C3" s="50" t="s">
        <v>47</v>
      </c>
      <c r="D3" s="50" t="s">
        <v>48</v>
      </c>
      <c r="E3" s="50" t="s">
        <v>49</v>
      </c>
      <c r="F3" s="50" t="s">
        <v>50</v>
      </c>
      <c r="G3" s="50" t="s">
        <v>51</v>
      </c>
      <c r="H3" s="50" t="s">
        <v>52</v>
      </c>
      <c r="I3" s="50" t="s">
        <v>53</v>
      </c>
    </row>
    <row r="4" spans="1:19" ht="15.6" thickTop="1" thickBot="1" x14ac:dyDescent="0.35">
      <c r="A4" s="43" t="s">
        <v>308</v>
      </c>
      <c r="B4" s="51"/>
      <c r="C4" s="51"/>
      <c r="D4" s="51"/>
      <c r="E4" s="51"/>
      <c r="F4" s="51"/>
      <c r="G4" s="51"/>
      <c r="H4" s="51"/>
      <c r="I4" s="51"/>
    </row>
    <row r="5" spans="1:19" ht="15.6" thickTop="1" thickBot="1" x14ac:dyDescent="0.35">
      <c r="A5" s="46" t="s">
        <v>150</v>
      </c>
      <c r="B5" s="85" cm="1">
        <f t="array" ref="B5">IF($A5="","",_xlfn.XLOOKUP(1,(Table1[Line Item]=$A5)*(Table1[Fiscal Year]=VALUE(RIGHT(B$3,4))),Table1[Value],"Not found"))</f>
        <v>11663</v>
      </c>
      <c r="C5" s="85" cm="1">
        <f t="array" ref="C5">IF($A5="","",_xlfn.XLOOKUP(1,(Table1[Line Item]=$A5)*(Table1[Fiscal Year]=VALUE(RIGHT(C$3,4))),Table1[Value],"Not found"))</f>
        <v>12943</v>
      </c>
      <c r="D5" s="85" cm="1">
        <f t="array" ref="D5">IF($A5="","",_xlfn.XLOOKUP(1,(Table1[Line Item]=$A5)*(Table1[Fiscal Year]=VALUE(RIGHT(D$3,4))),Table1[Value],"Not found"))</f>
        <v>12733</v>
      </c>
      <c r="E5" s="85" cm="1">
        <f t="array" ref="E5">IF($A5="","",_xlfn.XLOOKUP(1,(Table1[Line Item]=$A5)*(Table1[Fiscal Year]=VALUE(RIGHT(E$3,4))),Table1[Value],"Not found"))</f>
        <v>13191</v>
      </c>
      <c r="F5" s="85" cm="1">
        <f t="array" ref="F5">IF($A5="","",_xlfn.XLOOKUP(1,(Table1[Line Item]=$A5)*(Table1[Fiscal Year]=VALUE(RIGHT(F$3,4))),Table1[Value],"Not found"))</f>
        <v>10160</v>
      </c>
      <c r="G5" s="85" cm="1">
        <f t="array" ref="G5">IF($A5="","",_xlfn.XLOOKUP(1,(Table1[Line Item]=$A5)*(Table1[Fiscal Year]=VALUE(RIGHT(G$3,4))),Table1[Value],"Not found"))</f>
        <v>11148</v>
      </c>
      <c r="H5" s="85" cm="1">
        <f t="array" ref="H5">IF($A5="","",_xlfn.XLOOKUP(1,(Table1[Line Item]=$A5)*(Table1[Fiscal Year]=VALUE(RIGHT(H$3,4))),Table1[Value],"Not found"))</f>
        <v>12156</v>
      </c>
      <c r="I5" s="85" cm="1">
        <f t="array" ref="I5">IF($A5="","",_xlfn.XLOOKUP(1,(Table1[Line Item]=$A5)*(Table1[Fiscal Year]=VALUE(RIGHT(I$3,4))),Table1[Value],"Not found"))</f>
        <v>11142</v>
      </c>
    </row>
    <row r="6" spans="1:19" ht="15.6" thickTop="1" thickBot="1" x14ac:dyDescent="0.35">
      <c r="A6" s="47" t="s">
        <v>151</v>
      </c>
      <c r="B6" s="85" cm="1">
        <f t="array" ref="B6">IF($A6="","",_xlfn.XLOOKUP(1,(Table1[Line Item]=$A6)*(Table1[Fiscal Year]=VALUE(RIGHT(B$3,4))),Table1[Value],"Not found"))</f>
        <v>5841</v>
      </c>
      <c r="C6" s="85" cm="1">
        <f t="array" ref="C6">IF($A6="","",_xlfn.XLOOKUP(1,(Table1[Line Item]=$A6)*(Table1[Fiscal Year]=VALUE(RIGHT(C$3,4))),Table1[Value],"Not found"))</f>
        <v>7172</v>
      </c>
      <c r="D6" s="85" cm="1">
        <f t="array" ref="D6">IF($A6="","",_xlfn.XLOOKUP(1,(Table1[Line Item]=$A6)*(Table1[Fiscal Year]=VALUE(RIGHT(D$3,4))),Table1[Value],"Not found"))</f>
        <v>8196</v>
      </c>
      <c r="E6" s="85" cm="1">
        <f t="array" ref="E6">IF($A6="","",_xlfn.XLOOKUP(1,(Table1[Line Item]=$A6)*(Table1[Fiscal Year]=VALUE(RIGHT(E$3,4))),Table1[Value],"Not found"))</f>
        <v>9480</v>
      </c>
      <c r="F6" s="85" cm="1">
        <f t="array" ref="F6">IF($A6="","",_xlfn.XLOOKUP(1,(Table1[Line Item]=$A6)*(Table1[Fiscal Year]=VALUE(RIGHT(F$3,4))),Table1[Value],"Not found"))</f>
        <v>8970</v>
      </c>
      <c r="G6" s="85" cm="1">
        <f t="array" ref="G6">IF($A6="","",_xlfn.XLOOKUP(1,(Table1[Line Item]=$A6)*(Table1[Fiscal Year]=VALUE(RIGHT(G$3,4))),Table1[Value],"Not found"))</f>
        <v>9428</v>
      </c>
      <c r="H6" s="85" cm="1">
        <f t="array" ref="H6">IF($A6="","",_xlfn.XLOOKUP(1,(Table1[Line Item]=$A6)*(Table1[Fiscal Year]=VALUE(RIGHT(H$3,4))),Table1[Value],"Not found"))</f>
        <v>9725</v>
      </c>
      <c r="I6" s="85" cm="1">
        <f t="array" ref="I6">IF($A6="","",_xlfn.XLOOKUP(1,(Table1[Line Item]=$A6)*(Table1[Fiscal Year]=VALUE(RIGHT(I$3,4))),Table1[Value],"Not found"))</f>
        <v>9706</v>
      </c>
    </row>
    <row r="7" spans="1:19" ht="15.6" thickTop="1" thickBot="1" x14ac:dyDescent="0.35">
      <c r="A7" s="46" t="s">
        <v>152</v>
      </c>
      <c r="B7" s="85" cm="1">
        <f t="array" ref="B7">IF($A7="","",_xlfn.XLOOKUP(1,(Table1[Line Item]=$A7)*(Table1[Fiscal Year]=VALUE(RIGHT(B$3,4))),Table1[Value],"Not found"))</f>
        <v>979</v>
      </c>
      <c r="C7" s="85" cm="1">
        <f t="array" ref="C7">IF($A7="","",_xlfn.XLOOKUP(1,(Table1[Line Item]=$A7)*(Table1[Fiscal Year]=VALUE(RIGHT(C$3,4))),Table1[Value],"Not found"))</f>
        <v>1103</v>
      </c>
      <c r="D7" s="85" cm="1">
        <f t="array" ref="D7">IF($A7="","",_xlfn.XLOOKUP(1,(Table1[Line Item]=$A7)*(Table1[Fiscal Year]=VALUE(RIGHT(D$3,4))),Table1[Value],"Not found"))</f>
        <v>986</v>
      </c>
      <c r="E7" s="85" cm="1">
        <f t="array" ref="E7">IF($A7="","",_xlfn.XLOOKUP(1,(Table1[Line Item]=$A7)*(Table1[Fiscal Year]=VALUE(RIGHT(E$3,4))),Table1[Value],"Not found"))</f>
        <v>969</v>
      </c>
      <c r="F7" s="85" cm="1">
        <f t="array" ref="F7">IF($A7="","",_xlfn.XLOOKUP(1,(Table1[Line Item]=$A7)*(Table1[Fiscal Year]=VALUE(RIGHT(F$3,4))),Table1[Value],"Not found"))</f>
        <v>714</v>
      </c>
      <c r="G7" s="85" cm="1">
        <f t="array" ref="G7">IF($A7="","",_xlfn.XLOOKUP(1,(Table1[Line Item]=$A7)*(Table1[Fiscal Year]=VALUE(RIGHT(G$3,4))),Table1[Value],"Not found"))</f>
        <v>658</v>
      </c>
      <c r="H7" s="85" cm="1">
        <f t="array" ref="H7">IF($A7="","",_xlfn.XLOOKUP(1,(Table1[Line Item]=$A7)*(Table1[Fiscal Year]=VALUE(RIGHT(H$3,4))),Table1[Value],"Not found"))</f>
        <v>630</v>
      </c>
      <c r="I7" s="85" cm="1">
        <f t="array" ref="I7">IF($A7="","",_xlfn.XLOOKUP(1,(Table1[Line Item]=$A7)*(Table1[Fiscal Year]=VALUE(RIGHT(I$3,4))),Table1[Value],"Not found"))</f>
        <v>579</v>
      </c>
    </row>
    <row r="8" spans="1:19" ht="15.6" thickTop="1" thickBot="1" x14ac:dyDescent="0.35">
      <c r="A8" s="47" t="s">
        <v>170</v>
      </c>
      <c r="B8" s="86" cm="1">
        <f t="array" ref="B8">IF($A8="","",_xlfn.XLOOKUP(1,(Table1[Line Item]=$A8)*(Table1[Fiscal Year]=VALUE(RIGHT(B$3,4))),Table1[Value],"Not found"))</f>
        <v>18483</v>
      </c>
      <c r="C8" s="86" cm="1">
        <f t="array" ref="C8">IF($A8="","",_xlfn.XLOOKUP(1,(Table1[Line Item]=$A8)*(Table1[Fiscal Year]=VALUE(RIGHT(C$3,4))),Table1[Value],"Not found"))</f>
        <v>21218</v>
      </c>
      <c r="D8" s="86" cm="1">
        <f t="array" ref="D8">IF($A8="","",_xlfn.XLOOKUP(1,(Table1[Line Item]=$A8)*(Table1[Fiscal Year]=VALUE(RIGHT(D$3,4))),Table1[Value],"Not found"))</f>
        <v>21915</v>
      </c>
      <c r="E8" s="86" cm="1">
        <f t="array" ref="E8">IF($A8="","",_xlfn.XLOOKUP(1,(Table1[Line Item]=$A8)*(Table1[Fiscal Year]=VALUE(RIGHT(E$3,4))),Table1[Value],"Not found"))</f>
        <v>23640</v>
      </c>
      <c r="F8" s="86" cm="1">
        <f t="array" ref="F8">IF($A8="","",_xlfn.XLOOKUP(1,(Table1[Line Item]=$A8)*(Table1[Fiscal Year]=VALUE(RIGHT(F$3,4))),Table1[Value],"Not found"))</f>
        <v>19844</v>
      </c>
      <c r="G8" s="86" cm="1">
        <f t="array" ref="G8">IF($A8="","",_xlfn.XLOOKUP(1,(Table1[Line Item]=$A8)*(Table1[Fiscal Year]=VALUE(RIGHT(G$3,4))),Table1[Value],"Not found"))</f>
        <v>21234</v>
      </c>
      <c r="H8" s="86" cm="1">
        <f t="array" ref="H8">IF($A8="","",_xlfn.XLOOKUP(1,(Table1[Line Item]=$A8)*(Table1[Fiscal Year]=VALUE(RIGHT(H$3,4))),Table1[Value],"Not found"))</f>
        <v>22511</v>
      </c>
      <c r="I8" s="86" cm="1">
        <f t="array" ref="I8">IF($A8="","",_xlfn.XLOOKUP(1,(Table1[Line Item]=$A8)*(Table1[Fiscal Year]=VALUE(RIGHT(I$3,4))),Table1[Value],"Not found"))</f>
        <v>21427</v>
      </c>
    </row>
    <row r="9" spans="1:19" ht="15.6" thickTop="1" thickBot="1" x14ac:dyDescent="0.35">
      <c r="A9" s="46" t="s">
        <v>314</v>
      </c>
      <c r="B9" s="53">
        <f>(B8/B8)-1</f>
        <v>0</v>
      </c>
      <c r="C9" s="53">
        <f>(C8/B8)-1</f>
        <v>0.14797381377482011</v>
      </c>
      <c r="D9" s="53">
        <f>(D8/C8)-1</f>
        <v>3.2849467433311297E-2</v>
      </c>
      <c r="E9" s="53">
        <f>(E8/D8)-1</f>
        <v>7.8713210130047839E-2</v>
      </c>
      <c r="F9" s="53">
        <f t="shared" ref="F9:G9" si="0">(F8/E8)-1</f>
        <v>-0.16057529610829102</v>
      </c>
      <c r="G9" s="53">
        <f t="shared" si="0"/>
        <v>7.004636162064104E-2</v>
      </c>
      <c r="H9" s="53">
        <f>(H8/G8)-1</f>
        <v>6.0139399076952094E-2</v>
      </c>
      <c r="I9" s="53">
        <f t="shared" ref="I9" si="1">(I8/H8)-1</f>
        <v>-4.8154235706987736E-2</v>
      </c>
    </row>
    <row r="10" spans="1:19" ht="15.6" thickTop="1" thickBot="1" x14ac:dyDescent="0.35">
      <c r="A10" s="44" t="s">
        <v>309</v>
      </c>
      <c r="B10" s="85"/>
      <c r="C10" s="85"/>
      <c r="D10" s="85"/>
      <c r="E10" s="85"/>
      <c r="F10" s="85"/>
      <c r="G10" s="85"/>
      <c r="H10" s="85"/>
      <c r="I10" s="85"/>
    </row>
    <row r="11" spans="1:19" ht="15.6" thickTop="1" thickBot="1" x14ac:dyDescent="0.35">
      <c r="A11" s="46" t="s">
        <v>317</v>
      </c>
      <c r="B11" s="85" cm="1">
        <f t="array" ref="B11">IF($A11="","",_xlfn.XLOOKUP(1,(Table1[Line Item]=$A11)*(Table1[Fiscal Year]=VALUE(RIGHT(B$3,4))),Table1[Value],"Not found"))</f>
        <v>-9500</v>
      </c>
      <c r="C11" s="85" cm="1">
        <f t="array" ref="C11">IF($A11="","",_xlfn.XLOOKUP(1,(Table1[Line Item]=$A11)*(Table1[Fiscal Year]=VALUE(RIGHT(C$3,4))),Table1[Value],"Not found"))</f>
        <v>-10524</v>
      </c>
      <c r="D11" s="85" cm="1">
        <f t="array" ref="D11">IF($A11="","",_xlfn.XLOOKUP(1,(Table1[Line Item]=$A11)*(Table1[Fiscal Year]=VALUE(RIGHT(D$3,4))),Table1[Value],"Not found"))</f>
        <v>-10607</v>
      </c>
      <c r="E11" s="85" cm="1">
        <f t="array" ref="E11">IF($A11="","",_xlfn.XLOOKUP(1,(Table1[Line Item]=$A11)*(Table1[Fiscal Year]=VALUE(RIGHT(E$3,4))),Table1[Value],"Not found"))</f>
        <v>-11347</v>
      </c>
      <c r="F11" s="85" cm="1">
        <f t="array" ref="F11">IF($A11="","",_xlfn.XLOOKUP(1,(Table1[Line Item]=$A11)*(Table1[Fiscal Year]=VALUE(RIGHT(F$3,4))),Table1[Value],"Not found"))</f>
        <v>-9982</v>
      </c>
      <c r="G11" s="85" cm="1">
        <f t="array" ref="G11">IF($A11="","",_xlfn.XLOOKUP(1,(Table1[Line Item]=$A11)*(Table1[Fiscal Year]=VALUE(RIGHT(G$3,4))),Table1[Value],"Not found"))</f>
        <v>-10511</v>
      </c>
      <c r="H11" s="85" cm="1">
        <f t="array" ref="H11">IF($A11="","",_xlfn.XLOOKUP(1,(Table1[Line Item]=$A11)*(Table1[Fiscal Year]=VALUE(RIGHT(H$3,4))),Table1[Value],"Not found"))</f>
        <v>-11863</v>
      </c>
      <c r="I11" s="85" cm="1">
        <f t="array" ref="I11">IF($A11="","",_xlfn.XLOOKUP(1,(Table1[Line Item]=$A11)*(Table1[Fiscal Year]=VALUE(RIGHT(I$3,4))),Table1[Value],"Not found"))</f>
        <v>-11249</v>
      </c>
    </row>
    <row r="12" spans="1:19" ht="15.6" thickTop="1" thickBot="1" x14ac:dyDescent="0.35">
      <c r="A12" s="47" t="s">
        <v>84</v>
      </c>
      <c r="B12" s="86" cm="1">
        <f t="array" ref="B12">IF($A12="","",_xlfn.XLOOKUP(1,(Table1[Line Item]=$A12)*(Table1[Fiscal Year]=VALUE(RIGHT(B$3,4))),Table1[Value],"Not found"))</f>
        <v>8983</v>
      </c>
      <c r="C12" s="86" cm="1">
        <f t="array" ref="C12">IF($A12="","",_xlfn.XLOOKUP(1,(Table1[Line Item]=$A12)*(Table1[Fiscal Year]=VALUE(RIGHT(C$3,4))),Table1[Value],"Not found"))</f>
        <v>10694</v>
      </c>
      <c r="D12" s="86" cm="1">
        <f t="array" ref="D12">IF($A12="","",_xlfn.XLOOKUP(1,(Table1[Line Item]=$A12)*(Table1[Fiscal Year]=VALUE(RIGHT(D$3,4))),Table1[Value],"Not found"))</f>
        <v>11308</v>
      </c>
      <c r="E12" s="86" cm="1">
        <f t="array" ref="E12">IF($A12="","",_xlfn.XLOOKUP(1,(Table1[Line Item]=$A12)*(Table1[Fiscal Year]=VALUE(RIGHT(E$3,4))),Table1[Value],"Not found"))</f>
        <v>12293</v>
      </c>
      <c r="F12" s="86" cm="1">
        <f t="array" ref="F12">IF($A12="","",_xlfn.XLOOKUP(1,(Table1[Line Item]=$A12)*(Table1[Fiscal Year]=VALUE(RIGHT(F$3,4))),Table1[Value],"Not found"))</f>
        <v>9862</v>
      </c>
      <c r="G12" s="86" cm="1">
        <f t="array" ref="G12">IF($A12="","",_xlfn.XLOOKUP(1,(Table1[Line Item]=$A12)*(Table1[Fiscal Year]=VALUE(RIGHT(G$3,4))),Table1[Value],"Not found"))</f>
        <v>10723</v>
      </c>
      <c r="H12" s="86" cm="1">
        <f t="array" ref="H12">IF($A12="","",_xlfn.XLOOKUP(1,(Table1[Line Item]=$A12)*(Table1[Fiscal Year]=VALUE(RIGHT(H$3,4))),Table1[Value],"Not found"))</f>
        <v>10648</v>
      </c>
      <c r="I12" s="86" cm="1">
        <f t="array" ref="I12">IF($A12="","",_xlfn.XLOOKUP(1,(Table1[Line Item]=$A12)*(Table1[Fiscal Year]=VALUE(RIGHT(I$3,4))),Table1[Value],"Not found"))</f>
        <v>10178</v>
      </c>
    </row>
    <row r="13" spans="1:19" ht="15.6" thickTop="1" thickBot="1" x14ac:dyDescent="0.35">
      <c r="A13" s="46" t="s">
        <v>318</v>
      </c>
      <c r="B13" s="53">
        <f t="shared" ref="B13:I13" si="2">B12/B8</f>
        <v>0.4860141751880106</v>
      </c>
      <c r="C13" s="53">
        <f t="shared" si="2"/>
        <v>0.50400603261381849</v>
      </c>
      <c r="D13" s="53">
        <f t="shared" si="2"/>
        <v>0.51599361168149671</v>
      </c>
      <c r="E13" s="53">
        <f t="shared" si="2"/>
        <v>0.52000846023688663</v>
      </c>
      <c r="F13" s="53">
        <f t="shared" si="2"/>
        <v>0.49697641604515219</v>
      </c>
      <c r="G13" s="53">
        <f t="shared" si="2"/>
        <v>0.50499199397193184</v>
      </c>
      <c r="H13" s="53">
        <f t="shared" si="2"/>
        <v>0.47301319354982008</v>
      </c>
      <c r="I13" s="53">
        <f t="shared" si="2"/>
        <v>0.47500816726559947</v>
      </c>
    </row>
    <row r="14" spans="1:19" ht="15.6" thickTop="1" thickBot="1" x14ac:dyDescent="0.35">
      <c r="A14" s="48" t="s">
        <v>310</v>
      </c>
      <c r="B14" s="85"/>
      <c r="C14" s="85"/>
      <c r="D14" s="85"/>
      <c r="E14" s="85"/>
      <c r="F14" s="85"/>
      <c r="G14" s="85"/>
      <c r="H14" s="85"/>
      <c r="I14" s="85"/>
    </row>
    <row r="15" spans="1:19" ht="15.6" thickTop="1" thickBot="1" x14ac:dyDescent="0.35">
      <c r="A15" s="46" t="s">
        <v>319</v>
      </c>
      <c r="B15" s="85" cm="1">
        <f t="array" ref="B15">IF($A15="","",_xlfn.XLOOKUP(1,(Table1[Line Item]=$A15)*(Table1[Fiscal Year]=VALUE(RIGHT(B$3,4))),Table1[Value],"Not found"))</f>
        <v>108</v>
      </c>
      <c r="C15" s="85" cm="1">
        <f t="array" ref="C15">IF($A15="","",_xlfn.XLOOKUP(1,(Table1[Line Item]=$A15)*(Table1[Fiscal Year]=VALUE(RIGHT(C$3,4))),Table1[Value],"Not found"))</f>
        <v>115</v>
      </c>
      <c r="D15" s="85" cm="1">
        <f t="array" ref="D15">IF($A15="","",_xlfn.XLOOKUP(1,(Table1[Line Item]=$A15)*(Table1[Fiscal Year]=VALUE(RIGHT(D$3,4))),Table1[Value],"Not found"))</f>
        <v>121</v>
      </c>
      <c r="E15" s="85" cm="1">
        <f t="array" ref="E15">IF($A15="","",_xlfn.XLOOKUP(1,(Table1[Line Item]=$A15)*(Table1[Fiscal Year]=VALUE(RIGHT(E$3,4))),Table1[Value],"Not found"))</f>
        <v>130</v>
      </c>
      <c r="F15" s="85" cm="1">
        <f t="array" ref="F15">IF($A15="","",_xlfn.XLOOKUP(1,(Table1[Line Item]=$A15)*(Table1[Fiscal Year]=VALUE(RIGHT(F$3,4))),Table1[Value],"Not found"))</f>
        <v>96</v>
      </c>
      <c r="G15" s="85" cm="1">
        <f t="array" ref="G15">IF($A15="","",_xlfn.XLOOKUP(1,(Table1[Line Item]=$A15)*(Table1[Fiscal Year]=VALUE(RIGHT(G$3,4))),Table1[Value],"Not found"))</f>
        <v>104</v>
      </c>
      <c r="H15" s="85" cm="1">
        <f t="array" ref="H15">IF($A15="","",_xlfn.XLOOKUP(1,(Table1[Line Item]=$A15)*(Table1[Fiscal Year]=VALUE(RIGHT(H$3,4))),Table1[Value],"Not found"))</f>
        <v>112</v>
      </c>
      <c r="I15" s="85" cm="1">
        <f t="array" ref="I15">IF($A15="","",_xlfn.XLOOKUP(1,(Table1[Line Item]=$A15)*(Table1[Fiscal Year]=VALUE(RIGHT(I$3,4))),Table1[Value],"Not found"))</f>
        <v>107</v>
      </c>
    </row>
    <row r="16" spans="1:19" ht="15.6" thickTop="1" thickBot="1" x14ac:dyDescent="0.35">
      <c r="A16" s="47" t="s">
        <v>43</v>
      </c>
      <c r="B16" s="85" cm="1">
        <f t="array" ref="B16">IF($A16="","",_xlfn.XLOOKUP(1,(Table1[Line Item]=$A16)*(Table1[Fiscal Year]=VALUE(RIGHT(B$3,4))),Table1[Value],"Not found"))</f>
        <v>60</v>
      </c>
      <c r="C16" s="85" cm="1">
        <f t="array" ref="C16">IF($A16="","",_xlfn.XLOOKUP(1,(Table1[Line Item]=$A16)*(Table1[Fiscal Year]=VALUE(RIGHT(C$3,4))),Table1[Value],"Not found"))</f>
        <v>66</v>
      </c>
      <c r="D16" s="85" cm="1">
        <f t="array" ref="D16">IF($A16="","",_xlfn.XLOOKUP(1,(Table1[Line Item]=$A16)*(Table1[Fiscal Year]=VALUE(RIGHT(D$3,4))),Table1[Value],"Not found"))</f>
        <v>71</v>
      </c>
      <c r="E16" s="85" cm="1">
        <f t="array" ref="E16">IF($A16="","",_xlfn.XLOOKUP(1,(Table1[Line Item]=$A16)*(Table1[Fiscal Year]=VALUE(RIGHT(E$3,4))),Table1[Value],"Not found"))</f>
        <v>78</v>
      </c>
      <c r="F16" s="85" cm="1">
        <f t="array" ref="F16">IF($A16="","",_xlfn.XLOOKUP(1,(Table1[Line Item]=$A16)*(Table1[Fiscal Year]=VALUE(RIGHT(F$3,4))),Table1[Value],"Not found"))</f>
        <v>52</v>
      </c>
      <c r="G16" s="85" cm="1">
        <f t="array" ref="G16">IF($A16="","",_xlfn.XLOOKUP(1,(Table1[Line Item]=$A16)*(Table1[Fiscal Year]=VALUE(RIGHT(G$3,4))),Table1[Value],"Not found"))</f>
        <v>58</v>
      </c>
      <c r="H16" s="85" cm="1">
        <f t="array" ref="H16">IF($A16="","",_xlfn.XLOOKUP(1,(Table1[Line Item]=$A16)*(Table1[Fiscal Year]=VALUE(RIGHT(H$3,4))),Table1[Value],"Not found"))</f>
        <v>63</v>
      </c>
      <c r="I16" s="85" cm="1">
        <f t="array" ref="I16">IF($A16="","",_xlfn.XLOOKUP(1,(Table1[Line Item]=$A16)*(Table1[Fiscal Year]=VALUE(RIGHT(I$3,4))),Table1[Value],"Not found"))</f>
        <v>55</v>
      </c>
    </row>
    <row r="17" spans="1:9" ht="15.6" thickTop="1" thickBot="1" x14ac:dyDescent="0.35">
      <c r="A17" s="46" t="s">
        <v>320</v>
      </c>
      <c r="B17" s="85" cm="1">
        <f t="array" ref="B17">IF($A17="","",_xlfn.XLOOKUP(1,(Table1[Line Item]=$A17)*(Table1[Fiscal Year]=VALUE(RIGHT(B$3,4))),Table1[Value],"Not found"))</f>
        <v>-2532</v>
      </c>
      <c r="C17" s="85" cm="1">
        <f t="array" ref="C17">IF($A17="","",_xlfn.XLOOKUP(1,(Table1[Line Item]=$A17)*(Table1[Fiscal Year]=VALUE(RIGHT(C$3,4))),Table1[Value],"Not found"))</f>
        <v>-2843</v>
      </c>
      <c r="D17" s="85" cm="1">
        <f t="array" ref="D17">IF($A17="","",_xlfn.XLOOKUP(1,(Table1[Line Item]=$A17)*(Table1[Fiscal Year]=VALUE(RIGHT(D$3,4))),Table1[Value],"Not found"))</f>
        <v>-2871</v>
      </c>
      <c r="E17" s="85" cm="1">
        <f t="array" ref="E17">IF($A17="","",_xlfn.XLOOKUP(1,(Table1[Line Item]=$A17)*(Table1[Fiscal Year]=VALUE(RIGHT(E$3,4))),Table1[Value],"Not found"))</f>
        <v>-3026</v>
      </c>
      <c r="F17" s="85" cm="1">
        <f t="array" ref="F17">IF($A17="","",_xlfn.XLOOKUP(1,(Table1[Line Item]=$A17)*(Table1[Fiscal Year]=VALUE(RIGHT(F$3,4))),Table1[Value],"Not found"))</f>
        <v>-2361</v>
      </c>
      <c r="G17" s="85" cm="1">
        <f t="array" ref="G17">IF($A17="","",_xlfn.XLOOKUP(1,(Table1[Line Item]=$A17)*(Table1[Fiscal Year]=VALUE(RIGHT(G$3,4))),Table1[Value],"Not found"))</f>
        <v>-2569</v>
      </c>
      <c r="H17" s="85" cm="1">
        <f t="array" ref="H17">IF($A17="","",_xlfn.XLOOKUP(1,(Table1[Line Item]=$A17)*(Table1[Fiscal Year]=VALUE(RIGHT(H$3,4))),Table1[Value],"Not found"))</f>
        <v>-2791</v>
      </c>
      <c r="I17" s="85" cm="1">
        <f t="array" ref="I17">IF($A17="","",_xlfn.XLOOKUP(1,(Table1[Line Item]=$A17)*(Table1[Fiscal Year]=VALUE(RIGHT(I$3,4))),Table1[Value],"Not found"))</f>
        <v>-2636</v>
      </c>
    </row>
    <row r="18" spans="1:9" ht="15.6" thickTop="1" thickBot="1" x14ac:dyDescent="0.35">
      <c r="A18" s="47" t="s">
        <v>321</v>
      </c>
      <c r="B18" s="85" cm="1">
        <f t="array" ref="B18">IF($A18="","",_xlfn.XLOOKUP(1,(Table1[Line Item]=$A18)*(Table1[Fiscal Year]=VALUE(RIGHT(B$3,4))),Table1[Value],"Not found"))</f>
        <v>-4029</v>
      </c>
      <c r="C18" s="85" cm="1">
        <f t="array" ref="C18">IF($A18="","",_xlfn.XLOOKUP(1,(Table1[Line Item]=$A18)*(Table1[Fiscal Year]=VALUE(RIGHT(C$3,4))),Table1[Value],"Not found"))</f>
        <v>-4710</v>
      </c>
      <c r="D18" s="85" cm="1">
        <f t="array" ref="D18">IF($A18="","",_xlfn.XLOOKUP(1,(Table1[Line Item]=$A18)*(Table1[Fiscal Year]=VALUE(RIGHT(D$3,4))),Table1[Value],"Not found"))</f>
        <v>-4909</v>
      </c>
      <c r="E18" s="85" cm="1">
        <f t="array" ref="E18">IF($A18="","",_xlfn.XLOOKUP(1,(Table1[Line Item]=$A18)*(Table1[Fiscal Year]=VALUE(RIGHT(E$3,4))),Table1[Value],"Not found"))</f>
        <v>-5272</v>
      </c>
      <c r="F18" s="85" cm="1">
        <f t="array" ref="F18">IF($A18="","",_xlfn.XLOOKUP(1,(Table1[Line Item]=$A18)*(Table1[Fiscal Year]=VALUE(RIGHT(F$3,4))),Table1[Value],"Not found"))</f>
        <v>-5358</v>
      </c>
      <c r="G18" s="85" cm="1">
        <f t="array" ref="G18">IF($A18="","",_xlfn.XLOOKUP(1,(Table1[Line Item]=$A18)*(Table1[Fiscal Year]=VALUE(RIGHT(G$3,4))),Table1[Value],"Not found"))</f>
        <v>-4969</v>
      </c>
      <c r="H18" s="85" cm="1">
        <f t="array" ref="H18">IF($A18="","",_xlfn.XLOOKUP(1,(Table1[Line Item]=$A18)*(Table1[Fiscal Year]=VALUE(RIGHT(H$3,4))),Table1[Value],"Not found"))</f>
        <v>-5470</v>
      </c>
      <c r="I18" s="85" cm="1">
        <f t="array" ref="I18">IF($A18="","",_xlfn.XLOOKUP(1,(Table1[Line Item]=$A18)*(Table1[Fiscal Year]=VALUE(RIGHT(I$3,4))),Table1[Value],"Not found"))</f>
        <v>-5528</v>
      </c>
    </row>
    <row r="19" spans="1:9" ht="15.6" thickTop="1" thickBot="1" x14ac:dyDescent="0.35">
      <c r="A19" s="46" t="s">
        <v>119</v>
      </c>
      <c r="B19" s="85" cm="1">
        <f t="array" ref="B19">IF($A19="","",_xlfn.XLOOKUP(1,(Table1[Line Item]=$A19)*(Table1[Fiscal Year]=VALUE(RIGHT(B$3,4))),Table1[Value],"Not found"))</f>
        <v>-998</v>
      </c>
      <c r="C19" s="85" cm="1">
        <f t="array" ref="C19">IF($A19="","",_xlfn.XLOOKUP(1,(Table1[Line Item]=$A19)*(Table1[Fiscal Year]=VALUE(RIGHT(C$3,4))),Table1[Value],"Not found"))</f>
        <v>-1125</v>
      </c>
      <c r="D19" s="85" cm="1">
        <f t="array" ref="D19">IF($A19="","",_xlfn.XLOOKUP(1,(Table1[Line Item]=$A19)*(Table1[Fiscal Year]=VALUE(RIGHT(D$3,4))),Table1[Value],"Not found"))</f>
        <v>-1140</v>
      </c>
      <c r="E19" s="85" cm="1">
        <f t="array" ref="E19">IF($A19="","",_xlfn.XLOOKUP(1,(Table1[Line Item]=$A19)*(Table1[Fiscal Year]=VALUE(RIGHT(E$3,4))),Table1[Value],"Not found"))</f>
        <v>-1347</v>
      </c>
      <c r="F19" s="85" cm="1">
        <f t="array" ref="F19">IF($A19="","",_xlfn.XLOOKUP(1,(Table1[Line Item]=$A19)*(Table1[Fiscal Year]=VALUE(RIGHT(F$3,4))),Table1[Value],"Not found"))</f>
        <v>-1290</v>
      </c>
      <c r="G19" s="85" cm="1">
        <f t="array" ref="G19">IF($A19="","",_xlfn.XLOOKUP(1,(Table1[Line Item]=$A19)*(Table1[Fiscal Year]=VALUE(RIGHT(G$3,4))),Table1[Value],"Not found"))</f>
        <v>-1295</v>
      </c>
      <c r="H19" s="85" cm="1">
        <f t="array" ref="H19">IF($A19="","",_xlfn.XLOOKUP(1,(Table1[Line Item]=$A19)*(Table1[Fiscal Year]=VALUE(RIGHT(H$3,4))),Table1[Value],"Not found"))</f>
        <v>-1756</v>
      </c>
      <c r="I19" s="85" cm="1">
        <f t="array" ref="I19">IF($A19="","",_xlfn.XLOOKUP(1,(Table1[Line Item]=$A19)*(Table1[Fiscal Year]=VALUE(RIGHT(I$3,4))),Table1[Value],"Not found"))</f>
        <v>-1564</v>
      </c>
    </row>
    <row r="20" spans="1:9" ht="15.6" thickTop="1" thickBot="1" x14ac:dyDescent="0.35">
      <c r="A20" s="47" t="s">
        <v>120</v>
      </c>
      <c r="B20" s="85" cm="1">
        <f t="array" ref="B20">IF($A20="","",_xlfn.XLOOKUP(1,(Table1[Line Item]=$A20)*(Table1[Fiscal Year]=VALUE(RIGHT(B$3,4))),Table1[Value],"Not found"))</f>
        <v>-185</v>
      </c>
      <c r="C20" s="85" cm="1">
        <f t="array" ref="C20">IF($A20="","",_xlfn.XLOOKUP(1,(Table1[Line Item]=$A20)*(Table1[Fiscal Year]=VALUE(RIGHT(C$3,4))),Table1[Value],"Not found"))</f>
        <v>-212</v>
      </c>
      <c r="D20" s="85" cm="1">
        <f t="array" ref="D20">IF($A20="","",_xlfn.XLOOKUP(1,(Table1[Line Item]=$A20)*(Table1[Fiscal Year]=VALUE(RIGHT(D$3,4))),Table1[Value],"Not found"))</f>
        <v>-219</v>
      </c>
      <c r="E20" s="85" cm="1">
        <f t="array" ref="E20">IF($A20="","",_xlfn.XLOOKUP(1,(Table1[Line Item]=$A20)*(Table1[Fiscal Year]=VALUE(RIGHT(E$3,4))),Table1[Value],"Not found"))</f>
        <v>-236</v>
      </c>
      <c r="F20" s="85" cm="1">
        <f t="array" ref="F20">IF($A20="","",_xlfn.XLOOKUP(1,(Table1[Line Item]=$A20)*(Table1[Fiscal Year]=VALUE(RIGHT(F$3,4))),Table1[Value],"Not found"))</f>
        <v>-198</v>
      </c>
      <c r="G20" s="85" cm="1">
        <f t="array" ref="G20">IF($A20="","",_xlfn.XLOOKUP(1,(Table1[Line Item]=$A20)*(Table1[Fiscal Year]=VALUE(RIGHT(G$3,4))),Table1[Value],"Not found"))</f>
        <v>-212</v>
      </c>
      <c r="H20" s="85" cm="1">
        <f t="array" ref="H20">IF($A20="","",_xlfn.XLOOKUP(1,(Table1[Line Item]=$A20)*(Table1[Fiscal Year]=VALUE(RIGHT(H$3,4))),Table1[Value],"Not found"))</f>
        <v>-225</v>
      </c>
      <c r="I20" s="85" cm="1">
        <f t="array" ref="I20">IF($A20="","",_xlfn.XLOOKUP(1,(Table1[Line Item]=$A20)*(Table1[Fiscal Year]=VALUE(RIGHT(I$3,4))),Table1[Value],"Not found"))</f>
        <v>-257</v>
      </c>
    </row>
    <row r="21" spans="1:9" ht="15.6" thickTop="1" thickBot="1" x14ac:dyDescent="0.35">
      <c r="A21" s="46" t="s">
        <v>322</v>
      </c>
      <c r="B21" s="86" cm="1">
        <f t="array" ref="B21">IF($A21="","",_xlfn.XLOOKUP(1,(Table1[Line Item]=$A21)*(Table1[Fiscal Year]=VALUE(RIGHT(B$3,4))),Table1[Value],"Not found"))</f>
        <v>-7744</v>
      </c>
      <c r="C21" s="86" cm="1">
        <f t="array" ref="C21">IF($A21="","",_xlfn.XLOOKUP(1,(Table1[Line Item]=$A21)*(Table1[Fiscal Year]=VALUE(RIGHT(C$3,4))),Table1[Value],"Not found"))</f>
        <v>-8890</v>
      </c>
      <c r="D21" s="86" cm="1">
        <f t="array" ref="D21">IF($A21="","",_xlfn.XLOOKUP(1,(Table1[Line Item]=$A21)*(Table1[Fiscal Year]=VALUE(RIGHT(D$3,4))),Table1[Value],"Not found"))</f>
        <v>-9139</v>
      </c>
      <c r="E21" s="86" cm="1">
        <f t="array" ref="E21">IF($A21="","",_xlfn.XLOOKUP(1,(Table1[Line Item]=$A21)*(Table1[Fiscal Year]=VALUE(RIGHT(E$3,4))),Table1[Value],"Not found"))</f>
        <v>-9881</v>
      </c>
      <c r="F21" s="86" cm="1">
        <f t="array" ref="F21">IF($A21="","",_xlfn.XLOOKUP(1,(Table1[Line Item]=$A21)*(Table1[Fiscal Year]=VALUE(RIGHT(F$3,4))),Table1[Value],"Not found"))</f>
        <v>-9207</v>
      </c>
      <c r="G21" s="86" cm="1">
        <f t="array" ref="G21">IF($A21="","",_xlfn.XLOOKUP(1,(Table1[Line Item]=$A21)*(Table1[Fiscal Year]=VALUE(RIGHT(G$3,4))),Table1[Value],"Not found"))</f>
        <v>-9045</v>
      </c>
      <c r="H21" s="86" cm="1">
        <f t="array" ref="H21">IF($A21="","",_xlfn.XLOOKUP(1,(Table1[Line Item]=$A21)*(Table1[Fiscal Year]=VALUE(RIGHT(H$3,4))),Table1[Value],"Not found"))</f>
        <v>-10242</v>
      </c>
      <c r="I21" s="86" cm="1">
        <f t="array" ref="I21">IF($A21="","",_xlfn.XLOOKUP(1,(Table1[Line Item]=$A21)*(Table1[Fiscal Year]=VALUE(RIGHT(I$3,4))),Table1[Value],"Not found"))</f>
        <v>-9985</v>
      </c>
    </row>
    <row r="22" spans="1:9" ht="15.6" thickTop="1" thickBot="1" x14ac:dyDescent="0.35">
      <c r="A22" s="47" t="s">
        <v>323</v>
      </c>
      <c r="B22" s="85" cm="1">
        <f t="array" ref="B22">IF($A22="","",_xlfn.XLOOKUP(1,(Table1[Line Item]=$A22)*(Table1[Fiscal Year]=VALUE(RIGHT(B$3,4))),Table1[Value],"Not found"))</f>
        <v>0</v>
      </c>
      <c r="C22" s="85" cm="1">
        <f t="array" ref="C22">IF($A22="","",_xlfn.XLOOKUP(1,(Table1[Line Item]=$A22)*(Table1[Fiscal Year]=VALUE(RIGHT(C$3,4))),Table1[Value],"Not found"))</f>
        <v>0</v>
      </c>
      <c r="D22" s="85" cm="1">
        <f t="array" ref="D22">IF($A22="","",_xlfn.XLOOKUP(1,(Table1[Line Item]=$A22)*(Table1[Fiscal Year]=VALUE(RIGHT(D$3,4))),Table1[Value],"Not found"))</f>
        <v>0</v>
      </c>
      <c r="E22" s="85" cm="1">
        <f t="array" ref="E22">IF($A22="","",_xlfn.XLOOKUP(1,(Table1[Line Item]=$A22)*(Table1[Fiscal Year]=VALUE(RIGHT(E$3,4))),Table1[Value],"Not found"))</f>
        <v>0</v>
      </c>
      <c r="F22" s="85" cm="1">
        <f t="array" ref="F22">IF($A22="","",_xlfn.XLOOKUP(1,(Table1[Line Item]=$A22)*(Table1[Fiscal Year]=VALUE(RIGHT(F$3,4))),Table1[Value],"Not found"))</f>
        <v>0</v>
      </c>
      <c r="G22" s="85" cm="1">
        <f t="array" ref="G22">IF($A22="","",_xlfn.XLOOKUP(1,(Table1[Line Item]=$A22)*(Table1[Fiscal Year]=VALUE(RIGHT(G$3,4))),Table1[Value],"Not found"))</f>
        <v>0</v>
      </c>
      <c r="H22" s="85" cm="1">
        <f t="array" ref="H22">IF($A22="","",_xlfn.XLOOKUP(1,(Table1[Line Item]=$A22)*(Table1[Fiscal Year]=VALUE(RIGHT(H$3,4))),Table1[Value],"Not found"))</f>
        <v>-194</v>
      </c>
      <c r="I22" s="85" cm="1">
        <f t="array" ref="I22">IF($A22="","",_xlfn.XLOOKUP(1,(Table1[Line Item]=$A22)*(Table1[Fiscal Year]=VALUE(RIGHT(I$3,4))),Table1[Value],"Not found"))</f>
        <v>0</v>
      </c>
    </row>
    <row r="23" spans="1:9" ht="15.6" thickTop="1" thickBot="1" x14ac:dyDescent="0.35">
      <c r="A23" s="47" t="s">
        <v>95</v>
      </c>
      <c r="B23" s="86" cm="1">
        <f t="array" ref="B23">IF($A23="","",_xlfn.XLOOKUP(1,(Table1[Line Item]=$A23)*(Table1[Fiscal Year]=VALUE(RIGHT(B$3,4))),Table1[Value],"Not found"))</f>
        <v>1407</v>
      </c>
      <c r="C23" s="86" cm="1">
        <f t="array" ref="C23">IF($A23="","",_xlfn.XLOOKUP(1,(Table1[Line Item]=$A23)*(Table1[Fiscal Year]=VALUE(RIGHT(C$3,4))),Table1[Value],"Not found"))</f>
        <v>1985</v>
      </c>
      <c r="D23" s="86" cm="1">
        <f t="array" ref="D23">IF($A23="","",_xlfn.XLOOKUP(1,(Table1[Line Item]=$A23)*(Table1[Fiscal Year]=VALUE(RIGHT(D$3,4))),Table1[Value],"Not found"))</f>
        <v>2361</v>
      </c>
      <c r="E23" s="86" cm="1">
        <f t="array" ref="E23">IF($A23="","",_xlfn.XLOOKUP(1,(Table1[Line Item]=$A23)*(Table1[Fiscal Year]=VALUE(RIGHT(E$3,4))),Table1[Value],"Not found"))</f>
        <v>2620</v>
      </c>
      <c r="F23" s="86" cm="1">
        <f t="array" ref="F23">IF($A23="","",_xlfn.XLOOKUP(1,(Table1[Line Item]=$A23)*(Table1[Fiscal Year]=VALUE(RIGHT(F$3,4))),Table1[Value],"Not found"))</f>
        <v>803</v>
      </c>
      <c r="G23" s="86" cm="1">
        <f t="array" ref="G23">IF($A23="","",_xlfn.XLOOKUP(1,(Table1[Line Item]=$A23)*(Table1[Fiscal Year]=VALUE(RIGHT(G$3,4))),Table1[Value],"Not found"))</f>
        <v>1840</v>
      </c>
      <c r="H23" s="86" cm="1">
        <f t="array" ref="H23">IF($A23="","",_xlfn.XLOOKUP(1,(Table1[Line Item]=$A23)*(Table1[Fiscal Year]=VALUE(RIGHT(H$3,4))),Table1[Value],"Not found"))</f>
        <v>387</v>
      </c>
      <c r="I23" s="86" cm="1">
        <f t="array" ref="I23">IF($A23="","",_xlfn.XLOOKUP(1,(Table1[Line Item]=$A23)*(Table1[Fiscal Year]=VALUE(RIGHT(I$3,4))),Table1[Value],"Not found"))</f>
        <v>355</v>
      </c>
    </row>
    <row r="24" spans="1:9" ht="15.6" thickTop="1" thickBot="1" x14ac:dyDescent="0.35">
      <c r="A24" s="46" t="s">
        <v>324</v>
      </c>
      <c r="B24" s="53">
        <f t="shared" ref="B24:I24" si="3">B23/B8</f>
        <v>7.6124005843207276E-2</v>
      </c>
      <c r="C24" s="53">
        <f t="shared" si="3"/>
        <v>9.3552643981525116E-2</v>
      </c>
      <c r="D24" s="53">
        <f t="shared" si="3"/>
        <v>0.10773442847364818</v>
      </c>
      <c r="E24" s="53">
        <f t="shared" si="3"/>
        <v>0.11082910321489002</v>
      </c>
      <c r="F24" s="53">
        <f t="shared" si="3"/>
        <v>4.0465631929046564E-2</v>
      </c>
      <c r="G24" s="53">
        <f t="shared" si="3"/>
        <v>8.6653480267495531E-2</v>
      </c>
      <c r="H24" s="53">
        <f t="shared" si="3"/>
        <v>1.7191595220114611E-2</v>
      </c>
      <c r="I24" s="53">
        <f t="shared" si="3"/>
        <v>1.6567881644653941E-2</v>
      </c>
    </row>
    <row r="25" spans="1:9" ht="15.6" thickTop="1" thickBot="1" x14ac:dyDescent="0.35">
      <c r="A25" s="44" t="s">
        <v>311</v>
      </c>
      <c r="B25" s="85"/>
      <c r="C25" s="85"/>
      <c r="D25" s="85"/>
      <c r="E25" s="85"/>
      <c r="F25" s="85"/>
      <c r="G25" s="85"/>
      <c r="H25" s="85"/>
      <c r="I25" s="85"/>
    </row>
    <row r="26" spans="1:9" ht="15.6" thickTop="1" thickBot="1" x14ac:dyDescent="0.35">
      <c r="A26" s="46" t="s">
        <v>325</v>
      </c>
      <c r="B26" s="85" cm="1">
        <f t="array" ref="B26">IF($A26="","",_xlfn.XLOOKUP(1,(Table1[Line Item]=$A26)*(Table1[Fiscal Year]=VALUE(RIGHT(B$3,4))),Table1[Value],"Not found"))</f>
        <v>20</v>
      </c>
      <c r="C26" s="85" cm="1">
        <f t="array" ref="C26">IF($A26="","",_xlfn.XLOOKUP(1,(Table1[Line Item]=$A26)*(Table1[Fiscal Year]=VALUE(RIGHT(C$3,4))),Table1[Value],"Not found"))</f>
        <v>24</v>
      </c>
      <c r="D26" s="85" cm="1">
        <f t="array" ref="D26">IF($A26="","",_xlfn.XLOOKUP(1,(Table1[Line Item]=$A26)*(Table1[Fiscal Year]=VALUE(RIGHT(D$3,4))),Table1[Value],"Not found"))</f>
        <v>28</v>
      </c>
      <c r="E26" s="85" cm="1">
        <f t="array" ref="E26">IF($A26="","",_xlfn.XLOOKUP(1,(Table1[Line Item]=$A26)*(Table1[Fiscal Year]=VALUE(RIGHT(E$3,4))),Table1[Value],"Not found"))</f>
        <v>32</v>
      </c>
      <c r="F26" s="85" cm="1">
        <f t="array" ref="F26">IF($A26="","",_xlfn.XLOOKUP(1,(Table1[Line Item]=$A26)*(Table1[Fiscal Year]=VALUE(RIGHT(F$3,4))),Table1[Value],"Not found"))</f>
        <v>26</v>
      </c>
      <c r="G26" s="85" cm="1">
        <f t="array" ref="G26">IF($A26="","",_xlfn.XLOOKUP(1,(Table1[Line Item]=$A26)*(Table1[Fiscal Year]=VALUE(RIGHT(G$3,4))),Table1[Value],"Not found"))</f>
        <v>30</v>
      </c>
      <c r="H26" s="85" cm="1">
        <f t="array" ref="H26">IF($A26="","",_xlfn.XLOOKUP(1,(Table1[Line Item]=$A26)*(Table1[Fiscal Year]=VALUE(RIGHT(H$3,4))),Table1[Value],"Not found"))</f>
        <v>44</v>
      </c>
      <c r="I26" s="85" cm="1">
        <f t="array" ref="I26">IF($A26="","",_xlfn.XLOOKUP(1,(Table1[Line Item]=$A26)*(Table1[Fiscal Year]=VALUE(RIGHT(I$3,4))),Table1[Value],"Not found"))</f>
        <v>62</v>
      </c>
    </row>
    <row r="27" spans="1:9" ht="15.6" thickTop="1" thickBot="1" x14ac:dyDescent="0.35">
      <c r="A27" s="47" t="s">
        <v>326</v>
      </c>
      <c r="B27" s="85" cm="1">
        <f t="array" ref="B27">IF($A27="","",_xlfn.XLOOKUP(1,(Table1[Line Item]=$A27)*(Table1[Fiscal Year]=VALUE(RIGHT(B$3,4))),Table1[Value],"Not found"))</f>
        <v>-74</v>
      </c>
      <c r="C27" s="85" cm="1">
        <f t="array" ref="C27">IF($A27="","",_xlfn.XLOOKUP(1,(Table1[Line Item]=$A27)*(Table1[Fiscal Year]=VALUE(RIGHT(C$3,4))),Table1[Value],"Not found"))</f>
        <v>-82</v>
      </c>
      <c r="D27" s="85" cm="1">
        <f t="array" ref="D27">IF($A27="","",_xlfn.XLOOKUP(1,(Table1[Line Item]=$A27)*(Table1[Fiscal Year]=VALUE(RIGHT(D$3,4))),Table1[Value],"Not found"))</f>
        <v>-91</v>
      </c>
      <c r="E27" s="85" cm="1">
        <f t="array" ref="E27">IF($A27="","",_xlfn.XLOOKUP(1,(Table1[Line Item]=$A27)*(Table1[Fiscal Year]=VALUE(RIGHT(E$3,4))),Table1[Value],"Not found"))</f>
        <v>-166</v>
      </c>
      <c r="F27" s="85" cm="1">
        <f t="array" ref="F27">IF($A27="","",_xlfn.XLOOKUP(1,(Table1[Line Item]=$A27)*(Table1[Fiscal Year]=VALUE(RIGHT(F$3,4))),Table1[Value],"Not found"))</f>
        <v>-178</v>
      </c>
      <c r="G27" s="85" cm="1">
        <f t="array" ref="G27">IF($A27="","",_xlfn.XLOOKUP(1,(Table1[Line Item]=$A27)*(Table1[Fiscal Year]=VALUE(RIGHT(G$3,4))),Table1[Value],"Not found"))</f>
        <v>-172</v>
      </c>
      <c r="H27" s="85" cm="1">
        <f t="array" ref="H27">IF($A27="","",_xlfn.XLOOKUP(1,(Table1[Line Item]=$A27)*(Table1[Fiscal Year]=VALUE(RIGHT(H$3,4))),Table1[Value],"Not found"))</f>
        <v>-199</v>
      </c>
      <c r="I27" s="85" cm="1">
        <f t="array" ref="I27">IF($A27="","",_xlfn.XLOOKUP(1,(Table1[Line Item]=$A27)*(Table1[Fiscal Year]=VALUE(RIGHT(I$3,4))),Table1[Value],"Not found"))</f>
        <v>-242</v>
      </c>
    </row>
    <row r="28" spans="1:9" ht="15.6" thickTop="1" thickBot="1" x14ac:dyDescent="0.35">
      <c r="A28" s="46" t="s">
        <v>327</v>
      </c>
      <c r="B28" s="86" cm="1">
        <f t="array" ref="B28">IF($A28="","",_xlfn.XLOOKUP(1,(Table1[Line Item]=$A28)*(Table1[Fiscal Year]=VALUE(RIGHT(B$3,4))),Table1[Value],"Not found"))</f>
        <v>1353</v>
      </c>
      <c r="C28" s="86" cm="1">
        <f t="array" ref="C28">IF($A28="","",_xlfn.XLOOKUP(1,(Table1[Line Item]=$A28)*(Table1[Fiscal Year]=VALUE(RIGHT(C$3,4))),Table1[Value],"Not found"))</f>
        <v>1927</v>
      </c>
      <c r="D28" s="86" cm="1">
        <f t="array" ref="D28">IF($A28="","",_xlfn.XLOOKUP(1,(Table1[Line Item]=$A28)*(Table1[Fiscal Year]=VALUE(RIGHT(D$3,4))),Table1[Value],"Not found"))</f>
        <v>2298</v>
      </c>
      <c r="E28" s="86" cm="1">
        <f t="array" ref="E28">IF($A28="","",_xlfn.XLOOKUP(1,(Table1[Line Item]=$A28)*(Table1[Fiscal Year]=VALUE(RIGHT(E$3,4))),Table1[Value],"Not found"))</f>
        <v>2486</v>
      </c>
      <c r="F28" s="86" cm="1">
        <f t="array" ref="F28">IF($A28="","",_xlfn.XLOOKUP(1,(Table1[Line Item]=$A28)*(Table1[Fiscal Year]=VALUE(RIGHT(F$3,4))),Table1[Value],"Not found"))</f>
        <v>651</v>
      </c>
      <c r="G28" s="86" cm="1">
        <f t="array" ref="G28">IF($A28="","",_xlfn.XLOOKUP(1,(Table1[Line Item]=$A28)*(Table1[Fiscal Year]=VALUE(RIGHT(G$3,4))),Table1[Value],"Not found"))</f>
        <v>1698</v>
      </c>
      <c r="H28" s="86" cm="1">
        <f t="array" ref="H28">IF($A28="","",_xlfn.XLOOKUP(1,(Table1[Line Item]=$A28)*(Table1[Fiscal Year]=VALUE(RIGHT(H$3,4))),Table1[Value],"Not found"))</f>
        <v>232</v>
      </c>
      <c r="I28" s="86" cm="1">
        <f t="array" ref="I28">IF($A28="","",_xlfn.XLOOKUP(1,(Table1[Line Item]=$A28)*(Table1[Fiscal Year]=VALUE(RIGHT(I$3,4))),Table1[Value],"Not found"))</f>
        <v>175</v>
      </c>
    </row>
    <row r="29" spans="1:9" ht="15.6" thickTop="1" thickBot="1" x14ac:dyDescent="0.35">
      <c r="A29" s="47" t="s">
        <v>328</v>
      </c>
      <c r="B29" s="85" cm="1">
        <f t="array" ref="B29">IF($A29="","",_xlfn.XLOOKUP(1,(Table1[Line Item]=$A29)*(Table1[Fiscal Year]=VALUE(RIGHT(B$3,4))),Table1[Value],"Not found"))</f>
        <v>-392</v>
      </c>
      <c r="C29" s="85" cm="1">
        <f t="array" ref="C29">IF($A29="","",_xlfn.XLOOKUP(1,(Table1[Line Item]=$A29)*(Table1[Fiscal Year]=VALUE(RIGHT(C$3,4))),Table1[Value],"Not found"))</f>
        <v>-540</v>
      </c>
      <c r="D29" s="85" cm="1">
        <f t="array" ref="D29">IF($A29="","",_xlfn.XLOOKUP(1,(Table1[Line Item]=$A29)*(Table1[Fiscal Year]=VALUE(RIGHT(D$3,4))),Table1[Value],"Not found"))</f>
        <v>-597</v>
      </c>
      <c r="E29" s="85" cm="1">
        <f t="array" ref="E29">IF($A29="","",_xlfn.XLOOKUP(1,(Table1[Line Item]=$A29)*(Table1[Fiscal Year]=VALUE(RIGHT(E$3,4))),Table1[Value],"Not found"))</f>
        <v>-622</v>
      </c>
      <c r="F29" s="85" cm="1">
        <f t="array" ref="F29">IF($A29="","",_xlfn.XLOOKUP(1,(Table1[Line Item]=$A29)*(Table1[Fiscal Year]=VALUE(RIGHT(F$3,4))),Table1[Value],"Not found"))</f>
        <v>-228</v>
      </c>
      <c r="G29" s="85" cm="1">
        <f t="array" ref="G29">IF($A29="","",_xlfn.XLOOKUP(1,(Table1[Line Item]=$A29)*(Table1[Fiscal Year]=VALUE(RIGHT(G$3,4))),Table1[Value],"Not found"))</f>
        <v>-475</v>
      </c>
      <c r="H29" s="85" cm="1">
        <f t="array" ref="H29">IF($A29="","",_xlfn.XLOOKUP(1,(Table1[Line Item]=$A29)*(Table1[Fiscal Year]=VALUE(RIGHT(H$3,4))),Table1[Value],"Not found"))</f>
        <v>-174</v>
      </c>
      <c r="I29" s="85" cm="1">
        <f t="array" ref="I29">IF($A29="","",_xlfn.XLOOKUP(1,(Table1[Line Item]=$A29)*(Table1[Fiscal Year]=VALUE(RIGHT(I$3,4))),Table1[Value],"Not found"))</f>
        <v>-201</v>
      </c>
    </row>
    <row r="30" spans="1:9" ht="15.6" thickTop="1" thickBot="1" x14ac:dyDescent="0.35">
      <c r="A30" s="46" t="s">
        <v>329</v>
      </c>
      <c r="B30" s="53">
        <f t="shared" ref="B30:I30" si="4">ABS(B29/B28)</f>
        <v>0.28972653362897266</v>
      </c>
      <c r="C30" s="53">
        <f t="shared" si="4"/>
        <v>0.28022833419823562</v>
      </c>
      <c r="D30" s="53">
        <f t="shared" si="4"/>
        <v>0.25979112271540472</v>
      </c>
      <c r="E30" s="53">
        <f t="shared" si="4"/>
        <v>0.250201126307321</v>
      </c>
      <c r="F30" s="53">
        <f t="shared" si="4"/>
        <v>0.35023041474654376</v>
      </c>
      <c r="G30" s="53">
        <f t="shared" si="4"/>
        <v>0.27974087161366312</v>
      </c>
      <c r="H30" s="53">
        <f t="shared" si="4"/>
        <v>0.75</v>
      </c>
      <c r="I30" s="53">
        <f t="shared" si="4"/>
        <v>1.1485714285714286</v>
      </c>
    </row>
    <row r="31" spans="1:9" ht="15.6" thickTop="1" thickBot="1" x14ac:dyDescent="0.35">
      <c r="A31" s="44" t="s">
        <v>312</v>
      </c>
      <c r="B31" s="85"/>
      <c r="C31" s="85"/>
      <c r="D31" s="85"/>
      <c r="E31" s="85"/>
      <c r="F31" s="85"/>
      <c r="G31" s="85"/>
      <c r="H31" s="85"/>
      <c r="I31" s="85"/>
    </row>
    <row r="32" spans="1:9" ht="15.6" thickTop="1" thickBot="1" x14ac:dyDescent="0.35">
      <c r="A32" s="46" t="s">
        <v>330</v>
      </c>
      <c r="B32" s="85" cm="1">
        <f t="array" ref="B32">IF($A32="","",_xlfn.XLOOKUP(1,(Table1[Line Item]=$A32)*(Table1[Fiscal Year]=VALUE(RIGHT(B$3,4))),Table1[Value],"Not found"))</f>
        <v>961</v>
      </c>
      <c r="C32" s="85" cm="1">
        <f t="array" ref="C32">IF($A32="","",_xlfn.XLOOKUP(1,(Table1[Line Item]=$A32)*(Table1[Fiscal Year]=VALUE(RIGHT(C$3,4))),Table1[Value],"Not found"))</f>
        <v>1387</v>
      </c>
      <c r="D32" s="85" cm="1">
        <f t="array" ref="D32">IF($A32="","",_xlfn.XLOOKUP(1,(Table1[Line Item]=$A32)*(Table1[Fiscal Year]=VALUE(RIGHT(D$3,4))),Table1[Value],"Not found"))</f>
        <v>1701</v>
      </c>
      <c r="E32" s="85" cm="1">
        <f t="array" ref="E32">IF($A32="","",_xlfn.XLOOKUP(1,(Table1[Line Item]=$A32)*(Table1[Fiscal Year]=VALUE(RIGHT(E$3,4))),Table1[Value],"Not found"))</f>
        <v>1864</v>
      </c>
      <c r="F32" s="85" cm="1">
        <f t="array" ref="F32">IF($A32="","",_xlfn.XLOOKUP(1,(Table1[Line Item]=$A32)*(Table1[Fiscal Year]=VALUE(RIGHT(F$3,4))),Table1[Value],"Not found"))</f>
        <v>423</v>
      </c>
      <c r="G32" s="85" cm="1">
        <f t="array" ref="G32">IF($A32="","",_xlfn.XLOOKUP(1,(Table1[Line Item]=$A32)*(Table1[Fiscal Year]=VALUE(RIGHT(G$3,4))),Table1[Value],"Not found"))</f>
        <v>1223</v>
      </c>
      <c r="H32" s="85" cm="1">
        <f t="array" ref="H32">IF($A32="","",_xlfn.XLOOKUP(1,(Table1[Line Item]=$A32)*(Table1[Fiscal Year]=VALUE(RIGHT(H$3,4))),Table1[Value],"Not found"))</f>
        <v>58</v>
      </c>
      <c r="I32" s="85" cm="1">
        <f t="array" ref="I32">IF($A32="","",_xlfn.XLOOKUP(1,(Table1[Line Item]=$A32)*(Table1[Fiscal Year]=VALUE(RIGHT(I$3,4))),Table1[Value],"Not found"))</f>
        <v>-26</v>
      </c>
    </row>
    <row r="33" spans="1:9" ht="15.6" thickTop="1" thickBot="1" x14ac:dyDescent="0.35">
      <c r="A33" s="47" t="s">
        <v>82</v>
      </c>
      <c r="B33" s="86" cm="1">
        <f t="array" ref="B33">IF($A33="","",_xlfn.XLOOKUP(1,(Table1[Line Item]=$A33)*(Table1[Fiscal Year]=VALUE(RIGHT(B$3,4))),Table1[Value],"Not found"))</f>
        <v>961</v>
      </c>
      <c r="C33" s="86" cm="1">
        <f t="array" ref="C33">IF($A33="","",_xlfn.XLOOKUP(1,(Table1[Line Item]=$A33)*(Table1[Fiscal Year]=VALUE(RIGHT(C$3,4))),Table1[Value],"Not found"))</f>
        <v>1387</v>
      </c>
      <c r="D33" s="86" cm="1">
        <f t="array" ref="D33">IF($A33="","",_xlfn.XLOOKUP(1,(Table1[Line Item]=$A33)*(Table1[Fiscal Year]=VALUE(RIGHT(D$3,4))),Table1[Value],"Not found"))</f>
        <v>1701</v>
      </c>
      <c r="E33" s="86" cm="1">
        <f t="array" ref="E33">IF($A33="","",_xlfn.XLOOKUP(1,(Table1[Line Item]=$A33)*(Table1[Fiscal Year]=VALUE(RIGHT(E$3,4))),Table1[Value],"Not found"))</f>
        <v>1864</v>
      </c>
      <c r="F33" s="86" cm="1">
        <f t="array" ref="F33">IF($A33="","",_xlfn.XLOOKUP(1,(Table1[Line Item]=$A33)*(Table1[Fiscal Year]=VALUE(RIGHT(F$3,4))),Table1[Value],"Not found"))</f>
        <v>353</v>
      </c>
      <c r="G33" s="86" cm="1">
        <f t="array" ref="G33">IF($A33="","",_xlfn.XLOOKUP(1,(Table1[Line Item]=$A33)*(Table1[Fiscal Year]=VALUE(RIGHT(G$3,4))),Table1[Value],"Not found"))</f>
        <v>1455</v>
      </c>
      <c r="H33" s="86" cm="1">
        <f t="array" ref="H33">IF($A33="","",_xlfn.XLOOKUP(1,(Table1[Line Item]=$A33)*(Table1[Fiscal Year]=VALUE(RIGHT(H$3,4))),Table1[Value],"Not found"))</f>
        <v>58</v>
      </c>
      <c r="I33" s="86" cm="1">
        <f t="array" ref="I33">IF($A33="","",_xlfn.XLOOKUP(1,(Table1[Line Item]=$A33)*(Table1[Fiscal Year]=VALUE(RIGHT(I$3,4))),Table1[Value],"Not found"))</f>
        <v>-26</v>
      </c>
    </row>
    <row r="34" spans="1:9" ht="15.6" thickTop="1" thickBot="1" x14ac:dyDescent="0.35">
      <c r="A34" s="46" t="s">
        <v>331</v>
      </c>
      <c r="B34" s="85" cm="1">
        <f t="array" ref="B34">IF($A34="","",_xlfn.XLOOKUP(1,(Table1[Line Item]=$A34)*(Table1[Fiscal Year]=VALUE(RIGHT(B$3,4))),Table1[Value],"Not found"))</f>
        <v>-12</v>
      </c>
      <c r="C34" s="85" cm="1">
        <f t="array" ref="C34">IF($A34="","",_xlfn.XLOOKUP(1,(Table1[Line Item]=$A34)*(Table1[Fiscal Year]=VALUE(RIGHT(C$3,4))),Table1[Value],"Not found"))</f>
        <v>-14</v>
      </c>
      <c r="D34" s="85" cm="1">
        <f t="array" ref="D34">IF($A34="","",_xlfn.XLOOKUP(1,(Table1[Line Item]=$A34)*(Table1[Fiscal Year]=VALUE(RIGHT(D$3,4))),Table1[Value],"Not found"))</f>
        <v>-11</v>
      </c>
      <c r="E34" s="85" cm="1">
        <f t="array" ref="E34">IF($A34="","",_xlfn.XLOOKUP(1,(Table1[Line Item]=$A34)*(Table1[Fiscal Year]=VALUE(RIGHT(E$3,4))),Table1[Value],"Not found"))</f>
        <v>-9</v>
      </c>
      <c r="F34" s="85" cm="1">
        <f t="array" ref="F34">IF($A34="","",_xlfn.XLOOKUP(1,(Table1[Line Item]=$A34)*(Table1[Fiscal Year]=VALUE(RIGHT(F$3,4))),Table1[Value],"Not found"))</f>
        <v>-6</v>
      </c>
      <c r="G34" s="85" cm="1">
        <f t="array" ref="G34">IF($A34="","",_xlfn.XLOOKUP(1,(Table1[Line Item]=$A34)*(Table1[Fiscal Year]=VALUE(RIGHT(G$3,4))),Table1[Value],"Not found"))</f>
        <v>-8</v>
      </c>
      <c r="H34" s="85" cm="1">
        <f t="array" ref="H34">IF($A34="","",_xlfn.XLOOKUP(1,(Table1[Line Item]=$A34)*(Table1[Fiscal Year]=VALUE(RIGHT(H$3,4))),Table1[Value],"Not found"))</f>
        <v>-8</v>
      </c>
      <c r="I34" s="85" cm="1">
        <f t="array" ref="I34">IF($A34="","",_xlfn.XLOOKUP(1,(Table1[Line Item]=$A34)*(Table1[Fiscal Year]=VALUE(RIGHT(I$3,4))),Table1[Value],"Not found"))</f>
        <v>-7</v>
      </c>
    </row>
    <row r="35" spans="1:9" ht="15.6" thickTop="1" thickBot="1" x14ac:dyDescent="0.35">
      <c r="A35" s="47" t="s">
        <v>332</v>
      </c>
      <c r="B35" s="86" cm="1">
        <f t="array" ref="B35">IF($A35="","",_xlfn.XLOOKUP(1,(Table1[Line Item]=$A35)*(Table1[Fiscal Year]=VALUE(RIGHT(B$3,4))),Table1[Value],"Not found"))</f>
        <v>949</v>
      </c>
      <c r="C35" s="86" cm="1">
        <f t="array" ref="C35">IF($A35="","",_xlfn.XLOOKUP(1,(Table1[Line Item]=$A35)*(Table1[Fiscal Year]=VALUE(RIGHT(C$3,4))),Table1[Value],"Not found"))</f>
        <v>1373</v>
      </c>
      <c r="D35" s="86" cm="1">
        <f t="array" ref="D35">IF($A35="","",_xlfn.XLOOKUP(1,(Table1[Line Item]=$A35)*(Table1[Fiscal Year]=VALUE(RIGHT(D$3,4))),Table1[Value],"Not found"))</f>
        <v>1690</v>
      </c>
      <c r="E35" s="86" cm="1">
        <f t="array" ref="E35">IF($A35="","",_xlfn.XLOOKUP(1,(Table1[Line Item]=$A35)*(Table1[Fiscal Year]=VALUE(RIGHT(E$3,4))),Table1[Value],"Not found"))</f>
        <v>1855</v>
      </c>
      <c r="F35" s="86" cm="1">
        <f t="array" ref="F35">IF($A35="","",_xlfn.XLOOKUP(1,(Table1[Line Item]=$A35)*(Table1[Fiscal Year]=VALUE(RIGHT(F$3,4))),Table1[Value],"Not found"))</f>
        <v>347</v>
      </c>
      <c r="G35" s="86" cm="1">
        <f t="array" ref="G35">IF($A35="","",_xlfn.XLOOKUP(1,(Table1[Line Item]=$A35)*(Table1[Fiscal Year]=VALUE(RIGHT(G$3,4))),Table1[Value],"Not found"))</f>
        <v>1447</v>
      </c>
      <c r="H35" s="86" cm="1">
        <f t="array" ref="H35">IF($A35="","",_xlfn.XLOOKUP(1,(Table1[Line Item]=$A35)*(Table1[Fiscal Year]=VALUE(RIGHT(H$3,4))),Table1[Value],"Not found"))</f>
        <v>50</v>
      </c>
      <c r="I35" s="86" cm="1">
        <f t="array" ref="I35">IF($A35="","",_xlfn.XLOOKUP(1,(Table1[Line Item]=$A35)*(Table1[Fiscal Year]=VALUE(RIGHT(I$3,4))),Table1[Value],"Not found"))</f>
        <v>-33</v>
      </c>
    </row>
    <row r="36" spans="1:9" ht="15.6" thickTop="1" thickBot="1" x14ac:dyDescent="0.35">
      <c r="A36" s="47" t="s">
        <v>316</v>
      </c>
      <c r="B36" s="53">
        <f>(B35/B8)</f>
        <v>5.1344478710166098E-2</v>
      </c>
      <c r="C36" s="53">
        <f t="shared" ref="C36:I36" si="5">(C35/C8)</f>
        <v>6.4709209162032238E-2</v>
      </c>
      <c r="D36" s="53">
        <f t="shared" si="5"/>
        <v>7.7116130504220851E-2</v>
      </c>
      <c r="E36" s="53">
        <f t="shared" si="5"/>
        <v>7.8468697123519462E-2</v>
      </c>
      <c r="F36" s="53">
        <f t="shared" si="5"/>
        <v>1.7486393872203184E-2</v>
      </c>
      <c r="G36" s="53">
        <f t="shared" si="5"/>
        <v>6.8145427145144585E-2</v>
      </c>
      <c r="H36" s="53">
        <f t="shared" si="5"/>
        <v>2.221136333348141E-3</v>
      </c>
      <c r="I36" s="53">
        <f t="shared" si="5"/>
        <v>-1.5401129416157185E-3</v>
      </c>
    </row>
    <row r="37" spans="1:9" ht="15.6" thickTop="1" thickBot="1" x14ac:dyDescent="0.35">
      <c r="A37" s="45" t="s">
        <v>313</v>
      </c>
      <c r="B37" s="85"/>
      <c r="C37" s="85"/>
      <c r="D37" s="85"/>
      <c r="E37" s="85"/>
      <c r="F37" s="85"/>
      <c r="G37" s="85"/>
      <c r="H37" s="85"/>
      <c r="I37" s="85"/>
    </row>
    <row r="38" spans="1:9" ht="15.6" thickTop="1" thickBot="1" x14ac:dyDescent="0.35">
      <c r="A38" s="47" t="s">
        <v>96</v>
      </c>
      <c r="B38" s="85" cm="1">
        <f t="array" ref="B38">IF($A38="","",_xlfn.XLOOKUP(1,(Table1[Line Item]=$A38)*(Table1[Fiscal Year]=VALUE(RIGHT(B$3,4))),Table1[Value],"Not found"))</f>
        <v>4.72</v>
      </c>
      <c r="C38" s="85" cm="1">
        <f t="array" ref="C38">IF($A38="","",_xlfn.XLOOKUP(1,(Table1[Line Item]=$A38)*(Table1[Fiscal Year]=VALUE(RIGHT(C$3,4))),Table1[Value],"Not found"))</f>
        <v>6.78</v>
      </c>
      <c r="D38" s="85" cm="1">
        <f t="array" ref="D38">IF($A38="","",_xlfn.XLOOKUP(1,(Table1[Line Item]=$A38)*(Table1[Fiscal Year]=VALUE(RIGHT(D$3,4))),Table1[Value],"Not found"))</f>
        <v>8.4499999999999993</v>
      </c>
      <c r="E38" s="85" cm="1">
        <f t="array" ref="E38">IF($A38="","",_xlfn.XLOOKUP(1,(Table1[Line Item]=$A38)*(Table1[Fiscal Year]=VALUE(RIGHT(E$3,4))),Table1[Value],"Not found"))</f>
        <v>9.48</v>
      </c>
      <c r="F38" s="85" cm="1">
        <f t="array" ref="F38">IF($A38="","",_xlfn.XLOOKUP(1,(Table1[Line Item]=$A38)*(Table1[Fiscal Year]=VALUE(RIGHT(F$3,4))),Table1[Value],"Not found"))</f>
        <v>1.79</v>
      </c>
      <c r="G38" s="85" cm="1">
        <f t="array" ref="G38">IF($A38="","",_xlfn.XLOOKUP(1,(Table1[Line Item]=$A38)*(Table1[Fiscal Year]=VALUE(RIGHT(G$3,4))),Table1[Value],"Not found"))</f>
        <v>7.39</v>
      </c>
      <c r="H38" s="85" cm="1">
        <f t="array" ref="H38">IF($A38="","",_xlfn.XLOOKUP(1,(Table1[Line Item]=$A38)*(Table1[Fiscal Year]=VALUE(RIGHT(H$3,4))),Table1[Value],"Not found"))</f>
        <v>0.27</v>
      </c>
      <c r="I38" s="85" cm="1">
        <f t="array" ref="I38">IF($A38="","",_xlfn.XLOOKUP(1,(Table1[Line Item]=$A38)*(Table1[Fiscal Year]=VALUE(RIGHT(I$3,4))),Table1[Value],"Not found"))</f>
        <v>-0.18</v>
      </c>
    </row>
    <row r="39" spans="1:9" ht="15.6" thickTop="1" thickBot="1" x14ac:dyDescent="0.35">
      <c r="A39" s="46" t="s">
        <v>333</v>
      </c>
      <c r="B39" s="85" cm="1">
        <f t="array" ref="B39">IF($A39="","",_xlfn.XLOOKUP(1,(Table1[Line Item]=$A39)*(Table1[Fiscal Year]=VALUE(RIGHT(B$3,4))),Table1[Value],"Not found"))</f>
        <v>4.7</v>
      </c>
      <c r="C39" s="85" cm="1">
        <f t="array" ref="C39">IF($A39="","",_xlfn.XLOOKUP(1,(Table1[Line Item]=$A39)*(Table1[Fiscal Year]=VALUE(RIGHT(C$3,4))),Table1[Value],"Not found"))</f>
        <v>6.75</v>
      </c>
      <c r="D39" s="85" cm="1">
        <f t="array" ref="D39">IF($A39="","",_xlfn.XLOOKUP(1,(Table1[Line Item]=$A39)*(Table1[Fiscal Year]=VALUE(RIGHT(D$3,4))),Table1[Value],"Not found"))</f>
        <v>8.42</v>
      </c>
      <c r="E39" s="85" cm="1">
        <f t="array" ref="E39">IF($A39="","",_xlfn.XLOOKUP(1,(Table1[Line Item]=$A39)*(Table1[Fiscal Year]=VALUE(RIGHT(E$3,4))),Table1[Value],"Not found"))</f>
        <v>9.44</v>
      </c>
      <c r="F39" s="85" cm="1">
        <f t="array" ref="F39">IF($A39="","",_xlfn.XLOOKUP(1,(Table1[Line Item]=$A39)*(Table1[Fiscal Year]=VALUE(RIGHT(F$3,4))),Table1[Value],"Not found"))</f>
        <v>1.78</v>
      </c>
      <c r="G39" s="85" cm="1">
        <f t="array" ref="G39">IF($A39="","",_xlfn.XLOOKUP(1,(Table1[Line Item]=$A39)*(Table1[Fiscal Year]=VALUE(RIGHT(G$3,4))),Table1[Value],"Not found"))</f>
        <v>7.36</v>
      </c>
      <c r="H39" s="85" cm="1">
        <f t="array" ref="H39">IF($A39="","",_xlfn.XLOOKUP(1,(Table1[Line Item]=$A39)*(Table1[Fiscal Year]=VALUE(RIGHT(H$3,4))),Table1[Value],"Not found"))</f>
        <v>0.27</v>
      </c>
      <c r="I39" s="85" cm="1">
        <f t="array" ref="I39">IF($A39="","",_xlfn.XLOOKUP(1,(Table1[Line Item]=$A39)*(Table1[Fiscal Year]=VALUE(RIGHT(I$3,4))),Table1[Value],"Not found"))</f>
        <v>-0.18</v>
      </c>
    </row>
    <row r="40" spans="1:9" ht="15.6" thickTop="1" thickBot="1" x14ac:dyDescent="0.35">
      <c r="A40" s="47" t="s">
        <v>335</v>
      </c>
      <c r="B40" s="85" cm="1">
        <f t="array" ref="B40">IF($A40="","",_xlfn.XLOOKUP(1,(Table1[Line Item]=$A40)*(Table1[Fiscal Year]=VALUE(RIGHT(B$3,4))),Table1[Value],"Not found"))</f>
        <v>201</v>
      </c>
      <c r="C40" s="85" cm="1">
        <f t="array" ref="C40">IF($A40="","",_xlfn.XLOOKUP(1,(Table1[Line Item]=$A40)*(Table1[Fiscal Year]=VALUE(RIGHT(C$3,4))),Table1[Value],"Not found"))</f>
        <v>202.5</v>
      </c>
      <c r="D40" s="85" cm="1">
        <f t="array" ref="D40">IF($A40="","",_xlfn.XLOOKUP(1,(Table1[Line Item]=$A40)*(Table1[Fiscal Year]=VALUE(RIGHT(D$3,4))),Table1[Value],"Not found"))</f>
        <v>200</v>
      </c>
      <c r="E40" s="85" cm="1">
        <f t="array" ref="E40">IF($A40="","",_xlfn.XLOOKUP(1,(Table1[Line Item]=$A40)*(Table1[Fiscal Year]=VALUE(RIGHT(E$3,4))),Table1[Value],"Not found"))</f>
        <v>195.7</v>
      </c>
      <c r="F40" s="85" cm="1">
        <f t="array" ref="F40">IF($A40="","",_xlfn.XLOOKUP(1,(Table1[Line Item]=$A40)*(Table1[Fiscal Year]=VALUE(RIGHT(F$3,4))),Table1[Value],"Not found"))</f>
        <v>194.3</v>
      </c>
      <c r="G40" s="85" cm="1">
        <f t="array" ref="G40">IF($A40="","",_xlfn.XLOOKUP(1,(Table1[Line Item]=$A40)*(Table1[Fiscal Year]=VALUE(RIGHT(G$3,4))),Table1[Value],"Not found"))</f>
        <v>195.8</v>
      </c>
      <c r="H40" s="85" cm="1">
        <f t="array" ref="H40">IF($A40="","",_xlfn.XLOOKUP(1,(Table1[Line Item]=$A40)*(Table1[Fiscal Year]=VALUE(RIGHT(H$3,4))),Table1[Value],"Not found"))</f>
        <v>183.5</v>
      </c>
      <c r="I40" s="85" cm="1">
        <f t="array" ref="I40">IF($A40="","",_xlfn.XLOOKUP(1,(Table1[Line Item]=$A40)*(Table1[Fiscal Year]=VALUE(RIGHT(I$3,4))),Table1[Value],"Not found"))</f>
        <v>178.6</v>
      </c>
    </row>
    <row r="41" spans="1:9" ht="15.6" thickTop="1" thickBot="1" x14ac:dyDescent="0.35">
      <c r="A41" s="46" t="s">
        <v>336</v>
      </c>
      <c r="B41" s="85" cm="1">
        <f t="array" ref="B41">IF($A41="","",_xlfn.XLOOKUP(1,(Table1[Line Item]=$A41)*(Table1[Fiscal Year]=VALUE(RIGHT(B$3,4))),Table1[Value],"Not found"))</f>
        <v>201.8</v>
      </c>
      <c r="C41" s="85" cm="1">
        <f t="array" ref="C41">IF($A41="","",_xlfn.XLOOKUP(1,(Table1[Line Item]=$A41)*(Table1[Fiscal Year]=VALUE(RIGHT(C$3,4))),Table1[Value],"Not found"))</f>
        <v>203.3</v>
      </c>
      <c r="D41" s="85" cm="1">
        <f t="array" ref="D41">IF($A41="","",_xlfn.XLOOKUP(1,(Table1[Line Item]=$A41)*(Table1[Fiscal Year]=VALUE(RIGHT(D$3,4))),Table1[Value],"Not found"))</f>
        <v>200.8</v>
      </c>
      <c r="E41" s="85" cm="1">
        <f t="array" ref="E41">IF($A41="","",_xlfn.XLOOKUP(1,(Table1[Line Item]=$A41)*(Table1[Fiscal Year]=VALUE(RIGHT(E$3,4))),Table1[Value],"Not found"))</f>
        <v>196.5</v>
      </c>
      <c r="F41" s="85" cm="1">
        <f t="array" ref="F41">IF($A41="","",_xlfn.XLOOKUP(1,(Table1[Line Item]=$A41)*(Table1[Fiscal Year]=VALUE(RIGHT(F$3,4))),Table1[Value],"Not found"))</f>
        <v>195.1</v>
      </c>
      <c r="G41" s="85" cm="1">
        <f t="array" ref="G41">IF($A41="","",_xlfn.XLOOKUP(1,(Table1[Line Item]=$A41)*(Table1[Fiscal Year]=VALUE(RIGHT(G$3,4))),Table1[Value],"Not found"))</f>
        <v>196.6</v>
      </c>
      <c r="H41" s="85" cm="1">
        <f t="array" ref="H41">IF($A41="","",_xlfn.XLOOKUP(1,(Table1[Line Item]=$A41)*(Table1[Fiscal Year]=VALUE(RIGHT(H$3,4))),Table1[Value],"Not found"))</f>
        <v>184.2</v>
      </c>
      <c r="I41" s="85" cm="1">
        <f t="array" ref="I41">IF($A41="","",_xlfn.XLOOKUP(1,(Table1[Line Item]=$A41)*(Table1[Fiscal Year]=VALUE(RIGHT(I$3,4))),Table1[Value],"Not found"))</f>
        <v>179.3</v>
      </c>
    </row>
    <row r="42" spans="1:9" ht="15" thickTop="1" x14ac:dyDescent="0.3">
      <c r="A42" s="47" t="s">
        <v>334</v>
      </c>
      <c r="B42" s="85" cm="1">
        <f t="array" ref="B42">IF($A42="","",_xlfn.XLOOKUP(1,(Table1[Line Item]=$A42)*(Table1[Fiscal Year]=VALUE(RIGHT(B$3,4))),Table1[Value],"Not found"))</f>
        <v>2</v>
      </c>
      <c r="C42" s="85" cm="1">
        <f t="array" ref="C42">IF($A42="","",_xlfn.XLOOKUP(1,(Table1[Line Item]=$A42)*(Table1[Fiscal Year]=VALUE(RIGHT(C$3,4))),Table1[Value],"Not found"))</f>
        <v>2.6</v>
      </c>
      <c r="D42" s="85" cm="1">
        <f t="array" ref="D42">IF($A42="","",_xlfn.XLOOKUP(1,(Table1[Line Item]=$A42)*(Table1[Fiscal Year]=VALUE(RIGHT(D$3,4))),Table1[Value],"Not found"))</f>
        <v>3.35</v>
      </c>
      <c r="E42" s="85" cm="1">
        <f t="array" ref="E42">IF($A42="","",_xlfn.XLOOKUP(1,(Table1[Line Item]=$A42)*(Table1[Fiscal Year]=VALUE(RIGHT(E$3,4))),Table1[Value],"Not found"))</f>
        <v>3.85</v>
      </c>
      <c r="F42" s="85" cm="1">
        <f t="array" ref="F42">IF($A42="","",_xlfn.XLOOKUP(1,(Table1[Line Item]=$A42)*(Table1[Fiscal Year]=VALUE(RIGHT(F$3,4))),Table1[Value],"Not found"))</f>
        <v>0</v>
      </c>
      <c r="G42" s="85" cm="1">
        <f t="array" ref="G42">IF($A42="","",_xlfn.XLOOKUP(1,(Table1[Line Item]=$A42)*(Table1[Fiscal Year]=VALUE(RIGHT(G$3,4))),Table1[Value],"Not found"))</f>
        <v>3.3</v>
      </c>
      <c r="H42" s="85" cm="1">
        <f t="array" ref="H42">IF($A42="","",_xlfn.XLOOKUP(1,(Table1[Line Item]=$A42)*(Table1[Fiscal Year]=VALUE(RIGHT(H$3,4))),Table1[Value],"Not found"))</f>
        <v>0.7</v>
      </c>
      <c r="I42" s="85" cm="1">
        <f t="array" ref="I42">IF($A42="","",_xlfn.XLOOKUP(1,(Table1[Line Item]=$A42)*(Table1[Fiscal Year]=VALUE(RIGHT(I$3,4))),Table1[Value],"Not found"))</f>
        <v>0.7</v>
      </c>
    </row>
  </sheetData>
  <mergeCells count="2">
    <mergeCell ref="A1:I1"/>
    <mergeCell ref="A2:I2"/>
  </mergeCells>
  <conditionalFormatting sqref="A24">
    <cfRule type="iconSet" priority="22">
      <iconSet>
        <cfvo type="percent" val="0"/>
        <cfvo type="percent" val="33"/>
        <cfvo type="percent" val="67"/>
      </iconSet>
    </cfRule>
  </conditionalFormatting>
  <conditionalFormatting sqref="A33">
    <cfRule type="iconSet" priority="20">
      <iconSet iconSet="3Arrows">
        <cfvo type="percent" val="0"/>
        <cfvo type="percent" val="33"/>
        <cfvo type="percent" val="67"/>
      </iconSet>
    </cfRule>
  </conditionalFormatting>
  <conditionalFormatting sqref="C9:I9">
    <cfRule type="expression" dxfId="10" priority="1">
      <formula>C9&gt;B9</formula>
    </cfRule>
    <cfRule type="expression" dxfId="9" priority="2">
      <formula>C9&lt;B9</formula>
    </cfRule>
  </conditionalFormatting>
  <conditionalFormatting sqref="C13:I13">
    <cfRule type="expression" dxfId="8" priority="12">
      <formula>C13&lt;B13</formula>
    </cfRule>
    <cfRule type="expression" dxfId="7" priority="13">
      <formula>C13&gt;B13</formula>
    </cfRule>
  </conditionalFormatting>
  <conditionalFormatting sqref="C24:I24">
    <cfRule type="expression" dxfId="6" priority="7">
      <formula>C24&gt;B24</formula>
    </cfRule>
    <cfRule type="expression" dxfId="5" priority="8">
      <formula>C24&lt;B24</formula>
    </cfRule>
    <cfRule type="expression" dxfId="4" priority="9">
      <formula>C24&lt;B24</formula>
    </cfRule>
  </conditionalFormatting>
  <conditionalFormatting sqref="C30:I30">
    <cfRule type="expression" dxfId="3" priority="5">
      <formula>C30&lt;B30</formula>
    </cfRule>
    <cfRule type="expression" dxfId="2" priority="6">
      <formula>C30&gt;B30</formula>
    </cfRule>
  </conditionalFormatting>
  <conditionalFormatting sqref="C36:I36">
    <cfRule type="expression" dxfId="1" priority="3">
      <formula>C36&lt;B36</formula>
    </cfRule>
    <cfRule type="expression" dxfId="0" priority="4">
      <formula>C36&gt;B36</formula>
    </cfRule>
  </conditionalFormatting>
  <pageMargins left="0.7" right="0.7" top="0.75" bottom="0.75" header="0.3" footer="0.3"/>
  <pageSetup fitToWidth="0" orientation="portrait" r:id="rId1"/>
  <extLst>
    <ext xmlns:x14="http://schemas.microsoft.com/office/spreadsheetml/2009/9/main" uri="{78C0D931-6437-407d-A8EE-F0AAD7539E65}">
      <x14:conditionalFormattings>
        <x14:conditionalFormatting xmlns:xm="http://schemas.microsoft.com/office/excel/2006/main">
          <x14:cfRule type="iconSet" priority="17" id="{E2B4FB61-BBFC-4D92-A232-3E8F6AF5BCD1}">
            <x14:iconSet custom="1">
              <x14:cfvo type="percent">
                <xm:f>0</xm:f>
              </x14:cfvo>
              <x14:cfvo type="percent">
                <xm:f>30</xm:f>
              </x14:cfvo>
              <x14:cfvo type="percent">
                <xm:f>60</xm:f>
              </x14:cfvo>
              <x14:cfIcon iconSet="3TrafficLights1" iconId="0"/>
              <x14:cfIcon iconSet="3TrafficLights1" iconId="1"/>
              <x14:cfIcon iconSet="3TrafficLights1" iconId="2"/>
            </x14:iconSet>
          </x14:cfRule>
          <xm:sqref>A13 J13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96DA-3D01-40D1-A57D-AF45D45344E6}">
  <dimension ref="A1:I3"/>
  <sheetViews>
    <sheetView workbookViewId="0">
      <selection sqref="A1:I1"/>
    </sheetView>
  </sheetViews>
  <sheetFormatPr defaultRowHeight="14.4" x14ac:dyDescent="0.3"/>
  <cols>
    <col min="1" max="1" width="15.21875" bestFit="1" customWidth="1"/>
    <col min="2" max="2" width="14" customWidth="1"/>
    <col min="3" max="3" width="15.21875" bestFit="1" customWidth="1"/>
  </cols>
  <sheetData>
    <row r="1" spans="1:9" x14ac:dyDescent="0.3">
      <c r="A1" s="82" t="s">
        <v>337</v>
      </c>
      <c r="B1" s="82" t="str">
        <f>'Formatted Master P&amp;L(Stasge7)'!B3</f>
        <v>FY2016</v>
      </c>
      <c r="C1" s="82" t="str">
        <f>'Formatted Master P&amp;L(Stasge7)'!C3</f>
        <v>FY2017</v>
      </c>
      <c r="D1" s="82" t="str">
        <f>'Formatted Master P&amp;L(Stasge7)'!D3</f>
        <v>FY2018</v>
      </c>
      <c r="E1" s="82" t="str">
        <f>'Formatted Master P&amp;L(Stasge7)'!E3</f>
        <v>FY2019</v>
      </c>
      <c r="F1" s="82" t="str">
        <f>'Formatted Master P&amp;L(Stasge7)'!F3</f>
        <v>FY2020</v>
      </c>
      <c r="G1" s="82" t="str">
        <f>'Formatted Master P&amp;L(Stasge7)'!G3</f>
        <v>FY2021</v>
      </c>
      <c r="H1" s="82" t="str">
        <f>'Formatted Master P&amp;L(Stasge7)'!H3</f>
        <v>FY2022</v>
      </c>
      <c r="I1" s="82" t="str">
        <f>'Formatted Master P&amp;L(Stasge7)'!I3</f>
        <v>FY2023</v>
      </c>
    </row>
    <row r="2" spans="1:9" x14ac:dyDescent="0.3">
      <c r="A2" s="62" t="s">
        <v>40</v>
      </c>
      <c r="B2" s="62">
        <f>'MASTER P&amp;L'!B6</f>
        <v>18483</v>
      </c>
      <c r="C2" s="62">
        <f>'MASTER P&amp;L'!C6</f>
        <v>21218</v>
      </c>
      <c r="D2" s="62">
        <f>'MASTER P&amp;L'!D6</f>
        <v>21915</v>
      </c>
      <c r="E2" s="62">
        <f>'MASTER P&amp;L'!E6</f>
        <v>23640</v>
      </c>
      <c r="F2" s="62">
        <f>'MASTER P&amp;L'!F6</f>
        <v>19844</v>
      </c>
      <c r="G2" s="62">
        <f>'MASTER P&amp;L'!G6</f>
        <v>21234</v>
      </c>
      <c r="H2" s="62">
        <f>'MASTER P&amp;L'!H6</f>
        <v>22511</v>
      </c>
      <c r="I2" s="62">
        <f>'MASTER P&amp;L'!I6</f>
        <v>21427</v>
      </c>
    </row>
    <row r="3" spans="1:9" x14ac:dyDescent="0.3">
      <c r="A3" s="62" t="s">
        <v>338</v>
      </c>
      <c r="B3" s="62">
        <f>'Formatted Master P&amp;L(Stasge7)'!B24</f>
        <v>7.6124005843207276E-2</v>
      </c>
      <c r="C3" s="62">
        <f>'Formatted Master P&amp;L(Stasge7)'!C24</f>
        <v>9.3552643981525116E-2</v>
      </c>
      <c r="D3" s="62">
        <f>'Formatted Master P&amp;L(Stasge7)'!D24</f>
        <v>0.10773442847364818</v>
      </c>
      <c r="E3" s="62">
        <f>'Formatted Master P&amp;L(Stasge7)'!E24</f>
        <v>0.11082910321489002</v>
      </c>
      <c r="F3" s="62">
        <f>'Formatted Master P&amp;L(Stasge7)'!F24</f>
        <v>4.0465631929046564E-2</v>
      </c>
      <c r="G3" s="62">
        <f>'Formatted Master P&amp;L(Stasge7)'!G24</f>
        <v>8.6653480267495531E-2</v>
      </c>
      <c r="H3" s="62">
        <f>'Formatted Master P&amp;L(Stasge7)'!H24</f>
        <v>1.7191595220114611E-2</v>
      </c>
      <c r="I3" s="62">
        <f>'Formatted Master P&amp;L(Stasge7)'!I24</f>
        <v>1.6567881644653941E-2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85A7-457F-4DF1-A81B-17F797599279}">
  <dimension ref="A1:I4"/>
  <sheetViews>
    <sheetView workbookViewId="0"/>
  </sheetViews>
  <sheetFormatPr defaultRowHeight="14.4" x14ac:dyDescent="0.3"/>
  <cols>
    <col min="1" max="1" width="19.88671875" customWidth="1"/>
    <col min="2" max="2" width="11.6640625" bestFit="1" customWidth="1"/>
    <col min="3" max="3" width="15.21875" bestFit="1" customWidth="1"/>
    <col min="4" max="4" width="10.109375" bestFit="1" customWidth="1"/>
  </cols>
  <sheetData>
    <row r="1" spans="1:9" x14ac:dyDescent="0.3">
      <c r="A1" s="82" t="s">
        <v>371</v>
      </c>
      <c r="B1" s="82" t="str">
        <f>'Formatted Master P&amp;L(Stasge7)'!B3</f>
        <v>FY2016</v>
      </c>
      <c r="C1" s="82" t="str">
        <f>'Formatted Master P&amp;L(Stasge7)'!C3</f>
        <v>FY2017</v>
      </c>
      <c r="D1" s="82" t="str">
        <f>'Formatted Master P&amp;L(Stasge7)'!D3</f>
        <v>FY2018</v>
      </c>
      <c r="E1" s="82" t="str">
        <f>'Formatted Master P&amp;L(Stasge7)'!E3</f>
        <v>FY2019</v>
      </c>
      <c r="F1" s="82" t="str">
        <f>'Formatted Master P&amp;L(Stasge7)'!F3</f>
        <v>FY2020</v>
      </c>
      <c r="G1" s="82" t="str">
        <f>'Formatted Master P&amp;L(Stasge7)'!G3</f>
        <v>FY2021</v>
      </c>
      <c r="H1" s="82" t="str">
        <f>'Formatted Master P&amp;L(Stasge7)'!H3</f>
        <v>FY2022</v>
      </c>
      <c r="I1" s="82" t="str">
        <f>'Formatted Master P&amp;L(Stasge7)'!I3</f>
        <v>FY2023</v>
      </c>
    </row>
    <row r="2" spans="1:9" x14ac:dyDescent="0.3">
      <c r="A2" s="62" t="s">
        <v>339</v>
      </c>
      <c r="B2" s="63">
        <f>'Formatted Master P&amp;L(Stasge7)'!B13</f>
        <v>0.4860141751880106</v>
      </c>
      <c r="C2" s="63">
        <f>'Formatted Master P&amp;L(Stasge7)'!C13</f>
        <v>0.50400603261381849</v>
      </c>
      <c r="D2" s="63">
        <f>'Formatted Master P&amp;L(Stasge7)'!D13</f>
        <v>0.51599361168149671</v>
      </c>
      <c r="E2" s="63">
        <f>'Formatted Master P&amp;L(Stasge7)'!E13</f>
        <v>0.52000846023688663</v>
      </c>
      <c r="F2" s="63">
        <f>'Formatted Master P&amp;L(Stasge7)'!F13</f>
        <v>0.49697641604515219</v>
      </c>
      <c r="G2" s="63">
        <f>'Formatted Master P&amp;L(Stasge7)'!G13</f>
        <v>0.50499199397193184</v>
      </c>
      <c r="H2" s="63">
        <f>'Formatted Master P&amp;L(Stasge7)'!H13</f>
        <v>0.47301319354982008</v>
      </c>
      <c r="I2" s="63">
        <f>'Formatted Master P&amp;L(Stasge7)'!I13</f>
        <v>0.47500816726559947</v>
      </c>
    </row>
    <row r="3" spans="1:9" x14ac:dyDescent="0.3">
      <c r="A3" s="62" t="s">
        <v>338</v>
      </c>
      <c r="B3" s="63">
        <f>'Formatted Master P&amp;L(Stasge7)'!B24</f>
        <v>7.6124005843207276E-2</v>
      </c>
      <c r="C3" s="63">
        <f>'Formatted Master P&amp;L(Stasge7)'!C24</f>
        <v>9.3552643981525116E-2</v>
      </c>
      <c r="D3" s="63">
        <f>'Formatted Master P&amp;L(Stasge7)'!D24</f>
        <v>0.10773442847364818</v>
      </c>
      <c r="E3" s="63">
        <f>'Formatted Master P&amp;L(Stasge7)'!E24</f>
        <v>0.11082910321489002</v>
      </c>
      <c r="F3" s="63">
        <f>'Formatted Master P&amp;L(Stasge7)'!F24</f>
        <v>4.0465631929046564E-2</v>
      </c>
      <c r="G3" s="63">
        <f>'Formatted Master P&amp;L(Stasge7)'!G24</f>
        <v>8.6653480267495531E-2</v>
      </c>
      <c r="H3" s="63">
        <f>'Formatted Master P&amp;L(Stasge7)'!H24</f>
        <v>1.7191595220114611E-2</v>
      </c>
      <c r="I3" s="63">
        <f>'Formatted Master P&amp;L(Stasge7)'!I24</f>
        <v>1.6567881644653941E-2</v>
      </c>
    </row>
    <row r="4" spans="1:9" x14ac:dyDescent="0.3">
      <c r="A4" s="62" t="s">
        <v>315</v>
      </c>
      <c r="B4" s="63">
        <f>'Formatted Master P&amp;L(Stasge7)'!B36</f>
        <v>5.1344478710166098E-2</v>
      </c>
      <c r="C4" s="63">
        <f>'Formatted Master P&amp;L(Stasge7)'!C36</f>
        <v>6.4709209162032238E-2</v>
      </c>
      <c r="D4" s="63">
        <f>'Formatted Master P&amp;L(Stasge7)'!D36</f>
        <v>7.7116130504220851E-2</v>
      </c>
      <c r="E4" s="63">
        <f>'Formatted Master P&amp;L(Stasge7)'!E36</f>
        <v>7.8468697123519462E-2</v>
      </c>
      <c r="F4" s="63">
        <f>'Formatted Master P&amp;L(Stasge7)'!F36</f>
        <v>1.7486393872203184E-2</v>
      </c>
      <c r="G4" s="63">
        <f>'Formatted Master P&amp;L(Stasge7)'!G36</f>
        <v>6.8145427145144585E-2</v>
      </c>
      <c r="H4" s="63">
        <f>'Formatted Master P&amp;L(Stasge7)'!H36</f>
        <v>2.221136333348141E-3</v>
      </c>
      <c r="I4" s="63">
        <f>'Formatted Master P&amp;L(Stasge7)'!I36</f>
        <v>-1.5401129416157185E-3</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3E2B-B8F4-40B2-BBB6-C79C71421CF0}">
  <dimension ref="A1:I6"/>
  <sheetViews>
    <sheetView workbookViewId="0">
      <selection sqref="A1:I1"/>
    </sheetView>
  </sheetViews>
  <sheetFormatPr defaultRowHeight="14.4" x14ac:dyDescent="0.3"/>
  <cols>
    <col min="1" max="1" width="27.44140625" customWidth="1"/>
    <col min="2" max="2" width="14.77734375" bestFit="1" customWidth="1"/>
    <col min="3" max="3" width="18" bestFit="1" customWidth="1"/>
    <col min="4" max="4" width="9" customWidth="1"/>
    <col min="5" max="5" width="14.44140625" bestFit="1" customWidth="1"/>
    <col min="6" max="6" width="15.88671875" customWidth="1"/>
  </cols>
  <sheetData>
    <row r="1" spans="1:9" x14ac:dyDescent="0.3">
      <c r="A1" s="82" t="s">
        <v>337</v>
      </c>
      <c r="B1" s="82" t="str">
        <f>'Formatted Master P&amp;L(Stasge7)'!B3</f>
        <v>FY2016</v>
      </c>
      <c r="C1" s="82" t="str">
        <f>'Formatted Master P&amp;L(Stasge7)'!C3</f>
        <v>FY2017</v>
      </c>
      <c r="D1" s="82" t="str">
        <f>'Formatted Master P&amp;L(Stasge7)'!D3</f>
        <v>FY2018</v>
      </c>
      <c r="E1" s="82" t="str">
        <f>'Formatted Master P&amp;L(Stasge7)'!E3</f>
        <v>FY2019</v>
      </c>
      <c r="F1" s="82" t="str">
        <f>'Formatted Master P&amp;L(Stasge7)'!F3</f>
        <v>FY2020</v>
      </c>
      <c r="G1" s="82" t="str">
        <f>'Formatted Master P&amp;L(Stasge7)'!G3</f>
        <v>FY2021</v>
      </c>
      <c r="H1" s="82" t="str">
        <f>'Formatted Master P&amp;L(Stasge7)'!H3</f>
        <v>FY2022</v>
      </c>
      <c r="I1" s="82" t="str">
        <f>'Formatted Master P&amp;L(Stasge7)'!I3</f>
        <v>FY2023</v>
      </c>
    </row>
    <row r="2" spans="1:9" x14ac:dyDescent="0.3">
      <c r="A2" s="62" t="s">
        <v>340</v>
      </c>
      <c r="B2" s="63">
        <f>ABS('Formatted Master P&amp;L(Stasge7)'!B17)/'Formatted Master P&amp;L(Stasge7)'!B8</f>
        <v>0.13699074825515339</v>
      </c>
      <c r="C2" s="63">
        <f>ABS('Formatted Master P&amp;L(Stasge7)'!C17)/'Formatted Master P&amp;L(Stasge7)'!C8</f>
        <v>0.13399000848336318</v>
      </c>
      <c r="D2" s="63">
        <f>ABS('Formatted Master P&amp;L(Stasge7)'!D17)/'Formatted Master P&amp;L(Stasge7)'!D8</f>
        <v>0.13100616016427105</v>
      </c>
      <c r="E2" s="63">
        <f>ABS('Formatted Master P&amp;L(Stasge7)'!E17)/'Formatted Master P&amp;L(Stasge7)'!E8</f>
        <v>0.12800338409475465</v>
      </c>
      <c r="F2" s="63">
        <f>ABS('Formatted Master P&amp;L(Stasge7)'!F17)/'Formatted Master P&amp;L(Stasge7)'!F8</f>
        <v>0.11897802862326144</v>
      </c>
      <c r="G2" s="63">
        <f>ABS('Formatted Master P&amp;L(Stasge7)'!G17)/'Formatted Master P&amp;L(Stasge7)'!G8</f>
        <v>0.12098521239521522</v>
      </c>
      <c r="H2" s="63">
        <f>ABS('Formatted Master P&amp;L(Stasge7)'!H17)/'Formatted Master P&amp;L(Stasge7)'!H8</f>
        <v>0.12398383012749323</v>
      </c>
      <c r="I2" s="63">
        <f>ABS('Formatted Master P&amp;L(Stasge7)'!I17)/'Formatted Master P&amp;L(Stasge7)'!I8</f>
        <v>0.12302235497269799</v>
      </c>
    </row>
    <row r="3" spans="1:9" x14ac:dyDescent="0.3">
      <c r="A3" s="62" t="s">
        <v>118</v>
      </c>
      <c r="B3" s="63">
        <f>ABS('Formatted Master P&amp;L(Stasge7)'!B18)/'Formatted Master P&amp;L(Stasge7)'!B8</f>
        <v>0.21798409349131634</v>
      </c>
      <c r="C3" s="63">
        <f>ABS('Formatted Master P&amp;L(Stasge7)'!C18)/'Formatted Master P&amp;L(Stasge7)'!C8</f>
        <v>0.22198133660099914</v>
      </c>
      <c r="D3" s="63">
        <f>ABS('Formatted Master P&amp;L(Stasge7)'!D18)/'Formatted Master P&amp;L(Stasge7)'!D8</f>
        <v>0.22400182523385809</v>
      </c>
      <c r="E3" s="63">
        <f>ABS('Formatted Master P&amp;L(Stasge7)'!E18)/'Formatted Master P&amp;L(Stasge7)'!E8</f>
        <v>0.22301184433164128</v>
      </c>
      <c r="F3" s="63">
        <f>ABS('Formatted Master P&amp;L(Stasge7)'!F18)/'Formatted Master P&amp;L(Stasge7)'!F8</f>
        <v>0.27000604716790971</v>
      </c>
      <c r="G3" s="63">
        <f>ABS('Formatted Master P&amp;L(Stasge7)'!G18)/'Formatted Master P&amp;L(Stasge7)'!G8</f>
        <v>0.23401149100499199</v>
      </c>
      <c r="H3" s="63">
        <f>ABS('Formatted Master P&amp;L(Stasge7)'!H18)/'Formatted Master P&amp;L(Stasge7)'!H8</f>
        <v>0.24299231486828662</v>
      </c>
      <c r="I3" s="63">
        <f>ABS('Formatted Master P&amp;L(Stasge7)'!I18)/'Formatted Master P&amp;L(Stasge7)'!I8</f>
        <v>0.25799225276520277</v>
      </c>
    </row>
    <row r="4" spans="1:9" x14ac:dyDescent="0.3">
      <c r="A4" s="62" t="s">
        <v>341</v>
      </c>
      <c r="B4" s="63">
        <f>ABS('Formatted Master P&amp;L(Stasge7)'!B19)/'Formatted Master P&amp;L(Stasge7)'!B8</f>
        <v>5.3995563490775306E-2</v>
      </c>
      <c r="C4" s="63">
        <f>ABS('Formatted Master P&amp;L(Stasge7)'!C19)/'Formatted Master P&amp;L(Stasge7)'!C8</f>
        <v>5.3021019888773682E-2</v>
      </c>
      <c r="D4" s="63">
        <f>ABS('Formatted Master P&amp;L(Stasge7)'!D19)/'Formatted Master P&amp;L(Stasge7)'!D8</f>
        <v>5.2019164955509928E-2</v>
      </c>
      <c r="E4" s="63">
        <f>ABS('Formatted Master P&amp;L(Stasge7)'!E19)/'Formatted Master P&amp;L(Stasge7)'!E8</f>
        <v>5.6979695431472084E-2</v>
      </c>
      <c r="F4" s="63">
        <f>ABS('Formatted Master P&amp;L(Stasge7)'!F19)/'Formatted Master P&amp;L(Stasge7)'!F8</f>
        <v>6.5007055029227975E-2</v>
      </c>
      <c r="G4" s="63">
        <f>ABS('Formatted Master P&amp;L(Stasge7)'!G19)/'Formatted Master P&amp;L(Stasge7)'!G8</f>
        <v>6.0987096166525381E-2</v>
      </c>
      <c r="H4" s="63">
        <f>ABS('Formatted Master P&amp;L(Stasge7)'!H19)/'Formatted Master P&amp;L(Stasge7)'!H8</f>
        <v>7.8006308027186708E-2</v>
      </c>
      <c r="I4" s="63">
        <f>ABS('Formatted Master P&amp;L(Stasge7)'!I19)/'Formatted Master P&amp;L(Stasge7)'!I8</f>
        <v>7.2992019414757081E-2</v>
      </c>
    </row>
    <row r="5" spans="1:9" x14ac:dyDescent="0.3">
      <c r="A5" s="62" t="s">
        <v>120</v>
      </c>
      <c r="B5" s="63">
        <f>ABS('Formatted Master P&amp;L(Stasge7)'!B20)/'Formatted Master P&amp;L(Stasge7)'!B8</f>
        <v>1.0009197641075582E-2</v>
      </c>
      <c r="C5" s="63">
        <f>ABS('Formatted Master P&amp;L(Stasge7)'!C20)/'Formatted Master P&amp;L(Stasge7)'!C8</f>
        <v>9.991516636817797E-3</v>
      </c>
      <c r="D5" s="63">
        <f>ABS('Formatted Master P&amp;L(Stasge7)'!D20)/'Formatted Master P&amp;L(Stasge7)'!D8</f>
        <v>9.9931553730321695E-3</v>
      </c>
      <c r="E5" s="63">
        <f>ABS('Formatted Master P&amp;L(Stasge7)'!E20)/'Formatted Master P&amp;L(Stasge7)'!E8</f>
        <v>9.9830795262267347E-3</v>
      </c>
      <c r="F5" s="63">
        <f>ABS('Formatted Master P&amp;L(Stasge7)'!F20)/'Formatted Master P&amp;L(Stasge7)'!F8</f>
        <v>9.9778270509977823E-3</v>
      </c>
      <c r="G5" s="63">
        <f>ABS('Formatted Master P&amp;L(Stasge7)'!G20)/'Formatted Master P&amp;L(Stasge7)'!G8</f>
        <v>9.9839879438636155E-3</v>
      </c>
      <c r="H5" s="63">
        <f>ABS('Formatted Master P&amp;L(Stasge7)'!H20)/'Formatted Master P&amp;L(Stasge7)'!H8</f>
        <v>9.9951135000666338E-3</v>
      </c>
      <c r="I5" s="63">
        <f>ABS('Formatted Master P&amp;L(Stasge7)'!I20)/'Formatted Master P&amp;L(Stasge7)'!I8</f>
        <v>1.1994212908946656E-2</v>
      </c>
    </row>
    <row r="6" spans="1:9" x14ac:dyDescent="0.3">
      <c r="A6" s="62" t="s">
        <v>323</v>
      </c>
      <c r="B6" s="63">
        <f>ABS('Formatted Master P&amp;L(Stasge7)'!B22)/'Formatted Master P&amp;L(Stasge7)'!B8</f>
        <v>0</v>
      </c>
      <c r="C6" s="63">
        <f>ABS('Formatted Master P&amp;L(Stasge7)'!C22)/'Formatted Master P&amp;L(Stasge7)'!C8</f>
        <v>0</v>
      </c>
      <c r="D6" s="63">
        <f>ABS('Formatted Master P&amp;L(Stasge7)'!D22)/'Formatted Master P&amp;L(Stasge7)'!D8</f>
        <v>0</v>
      </c>
      <c r="E6" s="63">
        <f>ABS('Formatted Master P&amp;L(Stasge7)'!E22)/'Formatted Master P&amp;L(Stasge7)'!E8</f>
        <v>0</v>
      </c>
      <c r="F6" s="63">
        <f>ABS('Formatted Master P&amp;L(Stasge7)'!F22)/'Formatted Master P&amp;L(Stasge7)'!F8</f>
        <v>0</v>
      </c>
      <c r="G6" s="63">
        <f>ABS('Formatted Master P&amp;L(Stasge7)'!G22)/'Formatted Master P&amp;L(Stasge7)'!G8</f>
        <v>0</v>
      </c>
      <c r="H6" s="63">
        <f>ABS('Formatted Master P&amp;L(Stasge7)'!H22)/'Formatted Master P&amp;L(Stasge7)'!H8</f>
        <v>8.6180089733907863E-3</v>
      </c>
      <c r="I6" s="63">
        <f>ABS('Formatted Master P&amp;L(Stasge7)'!I22)/'Formatted Master P&amp;L(Stasge7)'!I8</f>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6B44-EA2A-4352-AD50-9113E09FA1BD}">
  <dimension ref="A1:D7"/>
  <sheetViews>
    <sheetView workbookViewId="0">
      <selection activeCell="C5" sqref="C5"/>
    </sheetView>
  </sheetViews>
  <sheetFormatPr defaultRowHeight="14.4" x14ac:dyDescent="0.3"/>
  <cols>
    <col min="1" max="1" width="14.88671875" bestFit="1" customWidth="1"/>
    <col min="2" max="2" width="19.33203125" bestFit="1" customWidth="1"/>
    <col min="3" max="3" width="11.88671875" bestFit="1" customWidth="1"/>
    <col min="4" max="4" width="31.77734375" bestFit="1" customWidth="1"/>
  </cols>
  <sheetData>
    <row r="1" spans="1:4" x14ac:dyDescent="0.3">
      <c r="A1" s="83" t="s">
        <v>285</v>
      </c>
      <c r="B1" s="83" t="s">
        <v>286</v>
      </c>
      <c r="C1" s="83" t="s">
        <v>287</v>
      </c>
      <c r="D1" s="83" t="s">
        <v>296</v>
      </c>
    </row>
    <row r="2" spans="1:4" x14ac:dyDescent="0.3">
      <c r="A2" s="62" t="s">
        <v>277</v>
      </c>
      <c r="B2" s="64">
        <v>8369</v>
      </c>
      <c r="C2" s="64">
        <v>7585</v>
      </c>
      <c r="D2" s="62">
        <v>-784</v>
      </c>
    </row>
    <row r="3" spans="1:4" x14ac:dyDescent="0.3">
      <c r="A3" s="62" t="s">
        <v>270</v>
      </c>
      <c r="B3" s="64">
        <v>4917</v>
      </c>
      <c r="C3" s="64">
        <v>5142</v>
      </c>
      <c r="D3" s="62">
        <v>225</v>
      </c>
    </row>
    <row r="4" spans="1:4" x14ac:dyDescent="0.3">
      <c r="A4" s="62" t="s">
        <v>278</v>
      </c>
      <c r="B4" s="64">
        <v>4728</v>
      </c>
      <c r="C4" s="64">
        <v>3257</v>
      </c>
      <c r="D4" s="64">
        <v>-1471</v>
      </c>
    </row>
    <row r="5" spans="1:4" x14ac:dyDescent="0.3">
      <c r="A5" s="62" t="s">
        <v>279</v>
      </c>
      <c r="B5" s="64">
        <v>2931</v>
      </c>
      <c r="C5" s="64">
        <v>2807</v>
      </c>
      <c r="D5" s="62">
        <v>-124</v>
      </c>
    </row>
    <row r="6" spans="1:4" x14ac:dyDescent="0.3">
      <c r="A6" s="62" t="s">
        <v>273</v>
      </c>
      <c r="B6" s="64">
        <v>1726</v>
      </c>
      <c r="C6" s="64">
        <v>2057</v>
      </c>
      <c r="D6" s="62">
        <v>331</v>
      </c>
    </row>
    <row r="7" spans="1:4" x14ac:dyDescent="0.3">
      <c r="A7" s="62" t="s">
        <v>152</v>
      </c>
      <c r="B7" s="62">
        <v>969</v>
      </c>
      <c r="C7" s="62">
        <v>579</v>
      </c>
      <c r="D7" s="62">
        <v>-390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4401-56D5-4AC9-BD20-CE2863869BEC}">
  <sheetPr>
    <tabColor rgb="FFFF0000"/>
    <pageSetUpPr fitToPage="1"/>
  </sheetPr>
  <dimension ref="A1:X26"/>
  <sheetViews>
    <sheetView showGridLines="0" zoomScaleNormal="100" workbookViewId="0">
      <selection activeCell="H22" sqref="H22:O26"/>
    </sheetView>
  </sheetViews>
  <sheetFormatPr defaultRowHeight="14.4" x14ac:dyDescent="0.3"/>
  <sheetData>
    <row r="1" spans="1:24" ht="29.4" customHeight="1" x14ac:dyDescent="0.45">
      <c r="A1" s="87" t="s">
        <v>342</v>
      </c>
      <c r="B1" s="87"/>
      <c r="C1" s="87"/>
      <c r="D1" s="87"/>
      <c r="E1" s="87"/>
      <c r="F1" s="87"/>
      <c r="G1" s="87"/>
      <c r="H1" s="87"/>
      <c r="I1" s="87"/>
      <c r="J1" s="87"/>
      <c r="K1" s="87"/>
      <c r="L1" s="87"/>
      <c r="M1" s="87"/>
      <c r="N1" s="87"/>
      <c r="O1" s="87"/>
      <c r="P1" s="87"/>
      <c r="Q1" s="87"/>
      <c r="R1" s="87"/>
      <c r="S1" s="87"/>
      <c r="T1" s="87"/>
      <c r="U1" s="87"/>
      <c r="V1" s="87"/>
      <c r="W1" s="87"/>
      <c r="X1" s="58"/>
    </row>
    <row r="2" spans="1:24" x14ac:dyDescent="0.3">
      <c r="A2" s="88" t="s">
        <v>343</v>
      </c>
      <c r="B2" s="88"/>
      <c r="C2" s="88"/>
      <c r="D2" s="88"/>
      <c r="E2" s="88"/>
      <c r="F2" s="88"/>
      <c r="G2" s="88"/>
      <c r="H2" s="88"/>
      <c r="I2" s="88"/>
      <c r="J2" s="88"/>
      <c r="K2" s="88"/>
      <c r="L2" s="88"/>
      <c r="M2" s="88"/>
      <c r="N2" s="88"/>
      <c r="O2" s="88"/>
      <c r="P2" s="88"/>
      <c r="Q2" s="88"/>
      <c r="R2" s="88"/>
      <c r="S2" s="88"/>
      <c r="T2" s="88"/>
      <c r="U2" s="88"/>
      <c r="V2" s="88"/>
      <c r="W2" s="88"/>
      <c r="X2" s="59"/>
    </row>
    <row r="3" spans="1:24" ht="15.6" x14ac:dyDescent="0.3">
      <c r="B3" s="55" t="s">
        <v>350</v>
      </c>
      <c r="E3" s="29"/>
      <c r="F3" s="55" t="s">
        <v>76</v>
      </c>
      <c r="H3" s="29"/>
      <c r="K3" s="55" t="s">
        <v>344</v>
      </c>
      <c r="L3" s="29"/>
      <c r="P3" s="55" t="s">
        <v>345</v>
      </c>
      <c r="T3" s="55" t="s">
        <v>346</v>
      </c>
    </row>
    <row r="4" spans="1:24" ht="15.6" x14ac:dyDescent="0.3">
      <c r="B4" s="56">
        <v>21427</v>
      </c>
      <c r="E4" s="17"/>
      <c r="F4" s="57">
        <v>2.1299999999999999E-2</v>
      </c>
      <c r="H4" s="17"/>
      <c r="K4" s="57">
        <v>1.7000000000000001E-2</v>
      </c>
      <c r="L4" s="54"/>
      <c r="P4" s="57">
        <v>-1.54011294161572E-3</v>
      </c>
      <c r="T4" s="56">
        <v>-2213</v>
      </c>
    </row>
    <row r="22" spans="1:23" ht="14.4" customHeight="1" x14ac:dyDescent="0.3">
      <c r="A22" s="89" t="s">
        <v>349</v>
      </c>
      <c r="B22" s="89"/>
      <c r="C22" s="89"/>
      <c r="D22" s="89"/>
      <c r="E22" s="89"/>
      <c r="F22" s="89"/>
      <c r="G22" s="89"/>
      <c r="H22" s="90" t="s">
        <v>348</v>
      </c>
      <c r="I22" s="90"/>
      <c r="J22" s="90"/>
      <c r="K22" s="90"/>
      <c r="L22" s="90"/>
      <c r="M22" s="90"/>
      <c r="N22" s="90"/>
      <c r="O22" s="90"/>
      <c r="P22" s="90" t="s">
        <v>347</v>
      </c>
      <c r="Q22" s="91"/>
      <c r="R22" s="91"/>
      <c r="S22" s="91"/>
      <c r="T22" s="91"/>
      <c r="U22" s="91"/>
      <c r="V22" s="91"/>
      <c r="W22" s="91"/>
    </row>
    <row r="23" spans="1:23" x14ac:dyDescent="0.3">
      <c r="A23" s="89"/>
      <c r="B23" s="89"/>
      <c r="C23" s="89"/>
      <c r="D23" s="89"/>
      <c r="E23" s="89"/>
      <c r="F23" s="89"/>
      <c r="G23" s="89"/>
      <c r="H23" s="90"/>
      <c r="I23" s="90"/>
      <c r="J23" s="90"/>
      <c r="K23" s="90"/>
      <c r="L23" s="90"/>
      <c r="M23" s="90"/>
      <c r="N23" s="90"/>
      <c r="O23" s="90"/>
      <c r="P23" s="91"/>
      <c r="Q23" s="91"/>
      <c r="R23" s="91"/>
      <c r="S23" s="91"/>
      <c r="T23" s="91"/>
      <c r="U23" s="91"/>
      <c r="V23" s="91"/>
      <c r="W23" s="91"/>
    </row>
    <row r="24" spans="1:23" x14ac:dyDescent="0.3">
      <c r="A24" s="89"/>
      <c r="B24" s="89"/>
      <c r="C24" s="89"/>
      <c r="D24" s="89"/>
      <c r="E24" s="89"/>
      <c r="F24" s="89"/>
      <c r="G24" s="89"/>
      <c r="H24" s="90"/>
      <c r="I24" s="90"/>
      <c r="J24" s="90"/>
      <c r="K24" s="90"/>
      <c r="L24" s="90"/>
      <c r="M24" s="90"/>
      <c r="N24" s="90"/>
      <c r="O24" s="90"/>
      <c r="P24" s="91"/>
      <c r="Q24" s="91"/>
      <c r="R24" s="91"/>
      <c r="S24" s="91"/>
      <c r="T24" s="91"/>
      <c r="U24" s="91"/>
      <c r="V24" s="91"/>
      <c r="W24" s="91"/>
    </row>
    <row r="25" spans="1:23" x14ac:dyDescent="0.3">
      <c r="A25" s="89"/>
      <c r="B25" s="89"/>
      <c r="C25" s="89"/>
      <c r="D25" s="89"/>
      <c r="E25" s="89"/>
      <c r="F25" s="89"/>
      <c r="G25" s="89"/>
      <c r="H25" s="90"/>
      <c r="I25" s="90"/>
      <c r="J25" s="90"/>
      <c r="K25" s="90"/>
      <c r="L25" s="90"/>
      <c r="M25" s="90"/>
      <c r="N25" s="90"/>
      <c r="O25" s="90"/>
      <c r="P25" s="91"/>
      <c r="Q25" s="91"/>
      <c r="R25" s="91"/>
      <c r="S25" s="91"/>
      <c r="T25" s="91"/>
      <c r="U25" s="91"/>
      <c r="V25" s="91"/>
      <c r="W25" s="91"/>
    </row>
    <row r="26" spans="1:23" x14ac:dyDescent="0.3">
      <c r="A26" s="89"/>
      <c r="B26" s="89"/>
      <c r="C26" s="89"/>
      <c r="D26" s="89"/>
      <c r="E26" s="89"/>
      <c r="F26" s="89"/>
      <c r="G26" s="89"/>
      <c r="H26" s="90"/>
      <c r="I26" s="90"/>
      <c r="J26" s="90"/>
      <c r="K26" s="90"/>
      <c r="L26" s="90"/>
      <c r="M26" s="90"/>
      <c r="N26" s="90"/>
      <c r="O26" s="90"/>
      <c r="P26" s="91"/>
      <c r="Q26" s="91"/>
      <c r="R26" s="91"/>
      <c r="S26" s="91"/>
      <c r="T26" s="91"/>
      <c r="U26" s="91"/>
      <c r="V26" s="91"/>
      <c r="W26" s="91"/>
    </row>
  </sheetData>
  <mergeCells count="5">
    <mergeCell ref="A1:W1"/>
    <mergeCell ref="A2:W2"/>
    <mergeCell ref="A22:G26"/>
    <mergeCell ref="H22:O26"/>
    <mergeCell ref="P22:W26"/>
  </mergeCells>
  <pageMargins left="0.25" right="0.25" top="0.75" bottom="0.75" header="0.3" footer="0.3"/>
  <pageSetup paperSize="9" scale="66"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9BE5-44AE-4F9A-8A1B-C5BB756A6863}">
  <dimension ref="A1:I5"/>
  <sheetViews>
    <sheetView workbookViewId="0">
      <selection sqref="A1:I5"/>
    </sheetView>
  </sheetViews>
  <sheetFormatPr defaultRowHeight="14.4" x14ac:dyDescent="0.3"/>
  <cols>
    <col min="1" max="1" width="28.5546875" customWidth="1"/>
    <col min="2" max="9" width="9.109375" customWidth="1"/>
  </cols>
  <sheetData>
    <row r="1" spans="1:9" x14ac:dyDescent="0.3">
      <c r="A1" s="34" t="s">
        <v>180</v>
      </c>
      <c r="B1" s="36" t="s">
        <v>46</v>
      </c>
      <c r="C1" s="36" t="s">
        <v>47</v>
      </c>
      <c r="D1" s="36" t="s">
        <v>48</v>
      </c>
      <c r="E1" s="36" t="s">
        <v>49</v>
      </c>
      <c r="F1" s="36" t="s">
        <v>50</v>
      </c>
      <c r="G1" s="36" t="s">
        <v>51</v>
      </c>
      <c r="H1" s="36" t="s">
        <v>52</v>
      </c>
      <c r="I1" s="36" t="s">
        <v>53</v>
      </c>
    </row>
    <row r="2" spans="1:9" x14ac:dyDescent="0.3">
      <c r="A2" s="35" t="s">
        <v>167</v>
      </c>
      <c r="B2" s="37" t="s">
        <v>181</v>
      </c>
      <c r="C2" s="37" t="s">
        <v>182</v>
      </c>
      <c r="D2" s="37" t="s">
        <v>183</v>
      </c>
      <c r="E2" s="37" t="s">
        <v>184</v>
      </c>
      <c r="F2" s="37" t="s">
        <v>185</v>
      </c>
      <c r="G2" s="37" t="s">
        <v>186</v>
      </c>
      <c r="H2" s="37" t="s">
        <v>187</v>
      </c>
      <c r="I2" s="37" t="s">
        <v>188</v>
      </c>
    </row>
    <row r="3" spans="1:9" x14ac:dyDescent="0.3">
      <c r="A3" s="35" t="s">
        <v>189</v>
      </c>
      <c r="B3" s="37" t="s">
        <v>190</v>
      </c>
      <c r="C3" s="37" t="s">
        <v>191</v>
      </c>
      <c r="D3" s="37" t="s">
        <v>192</v>
      </c>
      <c r="E3" s="37" t="s">
        <v>193</v>
      </c>
      <c r="F3" s="37" t="s">
        <v>194</v>
      </c>
      <c r="G3" s="37" t="s">
        <v>195</v>
      </c>
      <c r="H3" s="37" t="s">
        <v>196</v>
      </c>
      <c r="I3" s="37" t="s">
        <v>197</v>
      </c>
    </row>
    <row r="4" spans="1:9" x14ac:dyDescent="0.3">
      <c r="A4" s="35" t="s">
        <v>169</v>
      </c>
      <c r="B4" s="37" t="s">
        <v>198</v>
      </c>
      <c r="C4" s="37" t="s">
        <v>199</v>
      </c>
      <c r="D4" s="37" t="s">
        <v>200</v>
      </c>
      <c r="E4" s="37" t="s">
        <v>201</v>
      </c>
      <c r="F4" s="37" t="s">
        <v>202</v>
      </c>
      <c r="G4" s="37" t="s">
        <v>203</v>
      </c>
      <c r="H4" s="37" t="s">
        <v>204</v>
      </c>
      <c r="I4" s="37" t="s">
        <v>205</v>
      </c>
    </row>
    <row r="5" spans="1:9" x14ac:dyDescent="0.3">
      <c r="A5" s="35" t="s">
        <v>167</v>
      </c>
      <c r="B5" s="37" t="s">
        <v>181</v>
      </c>
      <c r="C5" s="37" t="s">
        <v>182</v>
      </c>
      <c r="D5" s="37" t="s">
        <v>183</v>
      </c>
      <c r="E5" s="37" t="s">
        <v>184</v>
      </c>
      <c r="F5" s="37" t="s">
        <v>185</v>
      </c>
      <c r="G5" s="37" t="s">
        <v>186</v>
      </c>
      <c r="H5" s="37" t="s">
        <v>187</v>
      </c>
      <c r="I5" s="37" t="s">
        <v>188</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F8A1-2777-4F4C-8CDE-E41168126C25}">
  <dimension ref="A1:K29"/>
  <sheetViews>
    <sheetView topLeftCell="A10" workbookViewId="0">
      <selection activeCell="G32" sqref="G32"/>
    </sheetView>
  </sheetViews>
  <sheetFormatPr defaultRowHeight="14.4" x14ac:dyDescent="0.3"/>
  <cols>
    <col min="1" max="3" width="29.88671875" customWidth="1"/>
  </cols>
  <sheetData>
    <row r="1" spans="1:11" x14ac:dyDescent="0.3">
      <c r="A1" t="s">
        <v>0</v>
      </c>
      <c r="B1" t="s">
        <v>38</v>
      </c>
      <c r="C1" t="s">
        <v>39</v>
      </c>
      <c r="D1" t="s">
        <v>46</v>
      </c>
      <c r="E1" t="s">
        <v>47</v>
      </c>
      <c r="F1" t="s">
        <v>48</v>
      </c>
      <c r="G1" t="s">
        <v>49</v>
      </c>
      <c r="H1" t="s">
        <v>50</v>
      </c>
      <c r="I1" t="s">
        <v>51</v>
      </c>
      <c r="J1" t="s">
        <v>52</v>
      </c>
      <c r="K1" t="s">
        <v>53</v>
      </c>
    </row>
    <row r="2" spans="1:11" x14ac:dyDescent="0.3">
      <c r="A2" t="s">
        <v>150</v>
      </c>
      <c r="B2" t="str">
        <f>_xlfn.XLOOKUP(A2,'lookup tables'!$A$2:$A$28,'lookup tables'!$B$2:$B$28,"Not Found",0)</f>
        <v>Revenue</v>
      </c>
      <c r="C2" t="str">
        <f>_xlfn.XLOOKUP(A2,'lookup tables'!$A$2:$A$28,'lookup tables'!$C$2:$C$28,"Not Found",0)</f>
        <v>Positive</v>
      </c>
      <c r="D2">
        <v>11663</v>
      </c>
      <c r="E2">
        <v>12943</v>
      </c>
      <c r="F2">
        <v>12733</v>
      </c>
      <c r="G2">
        <v>13191</v>
      </c>
      <c r="H2">
        <v>10160</v>
      </c>
      <c r="I2">
        <v>11148</v>
      </c>
      <c r="J2">
        <v>12156</v>
      </c>
      <c r="K2">
        <v>11142</v>
      </c>
    </row>
    <row r="3" spans="1:11" x14ac:dyDescent="0.3">
      <c r="A3" t="s">
        <v>151</v>
      </c>
      <c r="B3" t="str">
        <f>_xlfn.XLOOKUP(A3,'lookup tables'!$A$2:$A$28,'lookup tables'!$B$2:$B$28,"Not Found",0)</f>
        <v>Revenue</v>
      </c>
      <c r="C3" t="str">
        <f>_xlfn.XLOOKUP(A3,'lookup tables'!$A$2:$A$28,'lookup tables'!$C$2:$C$28,"Not Found",0)</f>
        <v>Positive</v>
      </c>
      <c r="D3">
        <v>5841</v>
      </c>
      <c r="E3">
        <v>7172</v>
      </c>
      <c r="F3">
        <v>8196</v>
      </c>
      <c r="G3">
        <v>9480</v>
      </c>
      <c r="H3">
        <v>8970</v>
      </c>
      <c r="I3">
        <v>9428</v>
      </c>
      <c r="J3">
        <v>9725</v>
      </c>
      <c r="K3">
        <v>9706</v>
      </c>
    </row>
    <row r="4" spans="1:11" x14ac:dyDescent="0.3">
      <c r="A4" t="s">
        <v>152</v>
      </c>
      <c r="B4" t="str">
        <f>_xlfn.XLOOKUP(A4,'lookup tables'!$A$2:$A$28,'lookup tables'!$B$2:$B$28,"Not Found",0)</f>
        <v>Revenue</v>
      </c>
      <c r="C4" t="str">
        <f>_xlfn.XLOOKUP(A4,'lookup tables'!$A$2:$A$28,'lookup tables'!$C$2:$C$28,"Not Found",0)</f>
        <v>Positive</v>
      </c>
      <c r="D4">
        <v>979</v>
      </c>
      <c r="E4">
        <v>1103</v>
      </c>
      <c r="F4">
        <v>986</v>
      </c>
      <c r="G4">
        <v>969</v>
      </c>
      <c r="H4">
        <v>714</v>
      </c>
      <c r="I4">
        <v>658</v>
      </c>
      <c r="J4">
        <v>630</v>
      </c>
      <c r="K4">
        <v>579</v>
      </c>
    </row>
    <row r="5" spans="1:11" x14ac:dyDescent="0.3">
      <c r="A5" t="s">
        <v>170</v>
      </c>
      <c r="B5" t="str">
        <f>_xlfn.XLOOKUP(A5,'lookup tables'!$A$2:$A$28,'lookup tables'!$B$2:$B$28,"Not Found",0)</f>
        <v>Revenue</v>
      </c>
      <c r="C5" t="str">
        <f>_xlfn.XLOOKUP(A5,'lookup tables'!$A$2:$A$28,'lookup tables'!$C$2:$C$28,"Not Found",0)</f>
        <v>Positive</v>
      </c>
      <c r="D5">
        <v>18483</v>
      </c>
      <c r="E5">
        <v>21218</v>
      </c>
      <c r="F5">
        <v>21915</v>
      </c>
      <c r="G5">
        <v>23640</v>
      </c>
      <c r="H5">
        <v>19844</v>
      </c>
      <c r="I5">
        <v>21234</v>
      </c>
      <c r="J5">
        <v>22511</v>
      </c>
      <c r="K5">
        <v>21427</v>
      </c>
    </row>
    <row r="6" spans="1:11" x14ac:dyDescent="0.3">
      <c r="A6" t="s">
        <v>317</v>
      </c>
      <c r="B6" t="str">
        <f>_xlfn.XLOOKUP(A6,'lookup tables'!$A$2:$A$28,'lookup tables'!$B$2:$B$28,"Not Found",0)</f>
        <v>Cost</v>
      </c>
      <c r="C6" t="str">
        <f>_xlfn.XLOOKUP(A6,'lookup tables'!$A$2:$A$28,'lookup tables'!$C$2:$C$28,"Not Found",0)</f>
        <v>Negative</v>
      </c>
      <c r="D6">
        <v>-9500</v>
      </c>
      <c r="E6">
        <v>-10524</v>
      </c>
      <c r="F6">
        <v>-10607</v>
      </c>
      <c r="G6">
        <v>-11347</v>
      </c>
      <c r="H6">
        <v>-9982</v>
      </c>
      <c r="I6">
        <v>-10511</v>
      </c>
      <c r="J6">
        <v>-11863</v>
      </c>
      <c r="K6">
        <v>-11249</v>
      </c>
    </row>
    <row r="7" spans="1:11" x14ac:dyDescent="0.3">
      <c r="A7" t="s">
        <v>84</v>
      </c>
      <c r="B7" t="str">
        <f>_xlfn.XLOOKUP(A7,'lookup tables'!$A$2:$A$28,'lookup tables'!$B$2:$B$28,"Not Found",0)</f>
        <v>Subtotal</v>
      </c>
      <c r="C7" t="str">
        <f>_xlfn.XLOOKUP(A7,'lookup tables'!$A$2:$A$28,'lookup tables'!$C$2:$C$28,"Not Found",0)</f>
        <v>Positive</v>
      </c>
      <c r="D7">
        <v>8983</v>
      </c>
      <c r="E7">
        <v>10694</v>
      </c>
      <c r="F7">
        <v>11308</v>
      </c>
      <c r="G7">
        <v>12293</v>
      </c>
      <c r="H7">
        <v>9862</v>
      </c>
      <c r="I7">
        <v>10723</v>
      </c>
      <c r="J7">
        <v>10648</v>
      </c>
      <c r="K7">
        <v>10178</v>
      </c>
    </row>
    <row r="8" spans="1:11" x14ac:dyDescent="0.3">
      <c r="A8" t="s">
        <v>319</v>
      </c>
      <c r="B8" t="str">
        <f>_xlfn.XLOOKUP(A8,'lookup tables'!$A$2:$A$28,'lookup tables'!$B$2:$B$28,"Not Found",0)</f>
        <v>Other income</v>
      </c>
      <c r="C8" t="str">
        <f>_xlfn.XLOOKUP(A8,'lookup tables'!$A$2:$A$28,'lookup tables'!$C$2:$C$28,"Not Found",0)</f>
        <v>Positive</v>
      </c>
      <c r="D8">
        <v>108</v>
      </c>
      <c r="E8">
        <v>115</v>
      </c>
      <c r="F8">
        <v>121</v>
      </c>
      <c r="G8">
        <v>130</v>
      </c>
      <c r="H8">
        <v>96</v>
      </c>
      <c r="I8">
        <v>104</v>
      </c>
      <c r="J8">
        <v>112</v>
      </c>
      <c r="K8">
        <v>107</v>
      </c>
    </row>
    <row r="9" spans="1:11" x14ac:dyDescent="0.3">
      <c r="A9" t="s">
        <v>43</v>
      </c>
      <c r="B9" t="str">
        <f>_xlfn.XLOOKUP(A9,'lookup tables'!$A$2:$A$28,'lookup tables'!$B$2:$B$28,"Not Found",0)</f>
        <v>Other income</v>
      </c>
      <c r="C9" t="str">
        <f>_xlfn.XLOOKUP(A9,'lookup tables'!$A$2:$A$28,'lookup tables'!$C$2:$C$28,"Not Found",0)</f>
        <v>Positive</v>
      </c>
      <c r="D9">
        <v>60</v>
      </c>
      <c r="E9">
        <v>66</v>
      </c>
      <c r="F9">
        <v>71</v>
      </c>
      <c r="G9">
        <v>78</v>
      </c>
      <c r="H9">
        <v>52</v>
      </c>
      <c r="I9">
        <v>58</v>
      </c>
      <c r="J9">
        <v>63</v>
      </c>
      <c r="K9">
        <v>55</v>
      </c>
    </row>
    <row r="10" spans="1:11" x14ac:dyDescent="0.3">
      <c r="A10" t="s">
        <v>320</v>
      </c>
      <c r="B10" t="str">
        <f>_xlfn.XLOOKUP(A10,'lookup tables'!$A$2:$A$28,'lookup tables'!$B$2:$B$28,"Not Found",0)</f>
        <v>Operating expense</v>
      </c>
      <c r="C10" t="str">
        <f>_xlfn.XLOOKUP(A10,'lookup tables'!$A$2:$A$28,'lookup tables'!$C$2:$C$28,"Not Found",0)</f>
        <v>Negative</v>
      </c>
      <c r="D10">
        <v>-2532</v>
      </c>
      <c r="E10">
        <v>-2843</v>
      </c>
      <c r="F10">
        <v>-2871</v>
      </c>
      <c r="G10">
        <v>-3026</v>
      </c>
      <c r="H10">
        <v>-2361</v>
      </c>
      <c r="I10">
        <v>-2569</v>
      </c>
      <c r="J10">
        <v>-2791</v>
      </c>
      <c r="K10">
        <v>-2636</v>
      </c>
    </row>
    <row r="11" spans="1:11" x14ac:dyDescent="0.3">
      <c r="A11" t="s">
        <v>321</v>
      </c>
      <c r="B11" t="str">
        <f>_xlfn.XLOOKUP(A11,'lookup tables'!$A$2:$A$28,'lookup tables'!$B$2:$B$28,"Not Found",0)</f>
        <v>Operating expense</v>
      </c>
      <c r="C11" t="str">
        <f>_xlfn.XLOOKUP(A11,'lookup tables'!$A$2:$A$28,'lookup tables'!$C$2:$C$28,"Not Found",0)</f>
        <v>Negative</v>
      </c>
      <c r="D11">
        <v>-4029</v>
      </c>
      <c r="E11">
        <v>-4710</v>
      </c>
      <c r="F11">
        <v>-4909</v>
      </c>
      <c r="G11">
        <v>-5272</v>
      </c>
      <c r="H11">
        <v>-5358</v>
      </c>
      <c r="I11">
        <v>-4969</v>
      </c>
      <c r="J11">
        <v>-5470</v>
      </c>
      <c r="K11">
        <v>-5528</v>
      </c>
    </row>
    <row r="12" spans="1:11" x14ac:dyDescent="0.3">
      <c r="A12" t="s">
        <v>119</v>
      </c>
      <c r="B12" t="str">
        <f>_xlfn.XLOOKUP(A12,'lookup tables'!$A$2:$A$28,'lookup tables'!$B$2:$B$28,"Not Found",0)</f>
        <v>Operating expense</v>
      </c>
      <c r="C12" t="str">
        <f>_xlfn.XLOOKUP(A12,'lookup tables'!$A$2:$A$28,'lookup tables'!$C$2:$C$28,"Not Found",0)</f>
        <v>Negative</v>
      </c>
      <c r="D12">
        <v>-998</v>
      </c>
      <c r="E12">
        <v>-1125</v>
      </c>
      <c r="F12">
        <v>-1140</v>
      </c>
      <c r="G12">
        <v>-1347</v>
      </c>
      <c r="H12">
        <v>-1290</v>
      </c>
      <c r="I12">
        <v>-1295</v>
      </c>
      <c r="J12">
        <v>-1756</v>
      </c>
      <c r="K12">
        <v>-1564</v>
      </c>
    </row>
    <row r="13" spans="1:11" x14ac:dyDescent="0.3">
      <c r="A13" t="s">
        <v>120</v>
      </c>
      <c r="B13" t="str">
        <f>_xlfn.XLOOKUP(A13,'lookup tables'!$A$2:$A$28,'lookup tables'!$B$2:$B$28,"Not Found",0)</f>
        <v>Operating expense</v>
      </c>
      <c r="C13" t="str">
        <f>_xlfn.XLOOKUP(A13,'lookup tables'!$A$2:$A$28,'lookup tables'!$C$2:$C$28,"Not Found",0)</f>
        <v>Negative</v>
      </c>
      <c r="D13">
        <v>-185</v>
      </c>
      <c r="E13">
        <v>-212</v>
      </c>
      <c r="F13">
        <v>-219</v>
      </c>
      <c r="G13">
        <v>-236</v>
      </c>
      <c r="H13">
        <v>-198</v>
      </c>
      <c r="I13">
        <v>-212</v>
      </c>
      <c r="J13">
        <v>-225</v>
      </c>
      <c r="K13">
        <v>-257</v>
      </c>
    </row>
    <row r="14" spans="1:11" x14ac:dyDescent="0.3">
      <c r="A14" t="s">
        <v>322</v>
      </c>
      <c r="B14" t="str">
        <f>_xlfn.XLOOKUP(A14,'lookup tables'!$A$2:$A$28,'lookup tables'!$B$2:$B$28,"Not Found",0)</f>
        <v>Subtotal</v>
      </c>
      <c r="C14" t="str">
        <f>_xlfn.XLOOKUP(A14,'lookup tables'!$A$2:$A$28,'lookup tables'!$C$2:$C$28,"Not Found",0)</f>
        <v>Negative</v>
      </c>
      <c r="D14">
        <v>-7744</v>
      </c>
      <c r="E14">
        <v>-8890</v>
      </c>
      <c r="F14">
        <v>-9139</v>
      </c>
      <c r="G14">
        <v>-9881</v>
      </c>
      <c r="H14">
        <v>-9207</v>
      </c>
      <c r="I14">
        <v>-9045</v>
      </c>
      <c r="J14">
        <v>-10242</v>
      </c>
      <c r="K14">
        <v>-9985</v>
      </c>
    </row>
    <row r="15" spans="1:11" x14ac:dyDescent="0.3">
      <c r="A15" t="s">
        <v>323</v>
      </c>
      <c r="B15" t="str">
        <f>_xlfn.XLOOKUP(A15,'lookup tables'!$A$2:$A$28,'lookup tables'!$B$2:$B$28,"Not Found",0)</f>
        <v>Operating expense</v>
      </c>
      <c r="C15" t="str">
        <f>_xlfn.XLOOKUP(A15,'lookup tables'!$A$2:$A$28,'lookup tables'!$C$2:$C$28,"Not Found",0)</f>
        <v>Negative</v>
      </c>
      <c r="D15">
        <v>0</v>
      </c>
      <c r="E15">
        <v>0</v>
      </c>
      <c r="F15">
        <v>0</v>
      </c>
      <c r="G15">
        <v>0</v>
      </c>
      <c r="H15">
        <v>0</v>
      </c>
      <c r="I15">
        <v>0</v>
      </c>
      <c r="J15">
        <v>-194</v>
      </c>
      <c r="K15">
        <v>0</v>
      </c>
    </row>
    <row r="16" spans="1:11" x14ac:dyDescent="0.3">
      <c r="A16" t="s">
        <v>95</v>
      </c>
      <c r="B16" t="str">
        <f>_xlfn.XLOOKUP(A16,'lookup tables'!$A$2:$A$28,'lookup tables'!$B$2:$B$28,"Not Found",0)</f>
        <v>Subtotal</v>
      </c>
      <c r="C16" t="str">
        <f>_xlfn.XLOOKUP(A16,'lookup tables'!$A$2:$A$28,'lookup tables'!$C$2:$C$28,"Not Found",0)</f>
        <v>Positive</v>
      </c>
      <c r="D16">
        <v>1407</v>
      </c>
      <c r="E16">
        <v>1985</v>
      </c>
      <c r="F16">
        <v>2361</v>
      </c>
      <c r="G16">
        <v>2620</v>
      </c>
      <c r="H16">
        <v>803</v>
      </c>
      <c r="I16">
        <v>1840</v>
      </c>
      <c r="J16">
        <v>387</v>
      </c>
      <c r="K16">
        <v>355</v>
      </c>
    </row>
    <row r="17" spans="1:11" x14ac:dyDescent="0.3">
      <c r="A17" t="s">
        <v>325</v>
      </c>
      <c r="B17" t="str">
        <f>_xlfn.XLOOKUP(A17,'lookup tables'!$A$2:$A$28,'lookup tables'!$B$2:$B$28,"Not Found",0)</f>
        <v>Financial</v>
      </c>
      <c r="C17" t="str">
        <f>_xlfn.XLOOKUP(A17,'lookup tables'!$A$2:$A$28,'lookup tables'!$C$2:$C$28,"Not Found",0)</f>
        <v>Positive</v>
      </c>
      <c r="D17">
        <v>20</v>
      </c>
      <c r="E17">
        <v>24</v>
      </c>
      <c r="F17">
        <v>28</v>
      </c>
      <c r="G17">
        <v>32</v>
      </c>
      <c r="H17">
        <v>26</v>
      </c>
      <c r="I17">
        <v>30</v>
      </c>
      <c r="J17">
        <v>44</v>
      </c>
      <c r="K17">
        <v>62</v>
      </c>
    </row>
    <row r="18" spans="1:11" x14ac:dyDescent="0.3">
      <c r="A18" t="s">
        <v>326</v>
      </c>
      <c r="B18" t="str">
        <f>_xlfn.XLOOKUP(A18,'lookup tables'!$A$2:$A$28,'lookup tables'!$B$2:$B$28,"Not Found",0)</f>
        <v>Financial</v>
      </c>
      <c r="C18" t="str">
        <f>_xlfn.XLOOKUP(A18,'lookup tables'!$A$2:$A$28,'lookup tables'!$C$2:$C$28,"Not Found",0)</f>
        <v>Negative</v>
      </c>
      <c r="D18">
        <v>-74</v>
      </c>
      <c r="E18">
        <v>-82</v>
      </c>
      <c r="F18">
        <v>-91</v>
      </c>
      <c r="G18">
        <v>-166</v>
      </c>
      <c r="H18">
        <v>-178</v>
      </c>
      <c r="I18">
        <v>-172</v>
      </c>
      <c r="J18">
        <v>-199</v>
      </c>
      <c r="K18">
        <v>-242</v>
      </c>
    </row>
    <row r="19" spans="1:11" x14ac:dyDescent="0.3">
      <c r="A19" t="s">
        <v>327</v>
      </c>
      <c r="B19" t="str">
        <f>_xlfn.XLOOKUP(A19,'lookup tables'!$A$2:$A$28,'lookup tables'!$B$2:$B$28,"Not Found",0)</f>
        <v>Subtotal</v>
      </c>
      <c r="C19" t="str">
        <f>_xlfn.XLOOKUP(A19,'lookup tables'!$A$2:$A$28,'lookup tables'!$C$2:$C$28,"Not Found",0)</f>
        <v>Positive</v>
      </c>
      <c r="D19">
        <v>1353</v>
      </c>
      <c r="E19">
        <v>1927</v>
      </c>
      <c r="F19">
        <v>2298</v>
      </c>
      <c r="G19">
        <v>2486</v>
      </c>
      <c r="H19">
        <v>651</v>
      </c>
      <c r="I19">
        <v>1698</v>
      </c>
      <c r="J19">
        <v>232</v>
      </c>
      <c r="K19">
        <v>175</v>
      </c>
    </row>
    <row r="20" spans="1:11" x14ac:dyDescent="0.3">
      <c r="A20" t="s">
        <v>328</v>
      </c>
      <c r="B20" t="str">
        <f>_xlfn.XLOOKUP(A20,'lookup tables'!$A$2:$A$28,'lookup tables'!$B$2:$B$28,"Not Found",0)</f>
        <v>Tax</v>
      </c>
      <c r="C20" t="str">
        <f>_xlfn.XLOOKUP(A20,'lookup tables'!$A$2:$A$28,'lookup tables'!$C$2:$C$28,"Not Found",0)</f>
        <v>Negative</v>
      </c>
      <c r="D20">
        <v>-392</v>
      </c>
      <c r="E20">
        <v>-540</v>
      </c>
      <c r="F20">
        <v>-597</v>
      </c>
      <c r="G20">
        <v>-622</v>
      </c>
      <c r="H20">
        <v>-228</v>
      </c>
      <c r="I20">
        <v>-475</v>
      </c>
      <c r="J20">
        <v>-174</v>
      </c>
      <c r="K20">
        <v>-201</v>
      </c>
    </row>
    <row r="21" spans="1:11" x14ac:dyDescent="0.3">
      <c r="A21" t="s">
        <v>330</v>
      </c>
      <c r="B21" t="str">
        <f>_xlfn.XLOOKUP(A21,'lookup tables'!$A$2:$A$28,'lookup tables'!$B$2:$B$28,"Not Found",0)</f>
        <v>Subtotal</v>
      </c>
      <c r="C21" t="str">
        <f>_xlfn.XLOOKUP(A21,'lookup tables'!$A$2:$A$28,'lookup tables'!$C$2:$C$28,"Not Found",0)</f>
        <v>Positive</v>
      </c>
      <c r="D21">
        <v>961</v>
      </c>
      <c r="E21">
        <v>1387</v>
      </c>
      <c r="F21">
        <v>1701</v>
      </c>
      <c r="G21">
        <v>1864</v>
      </c>
      <c r="H21">
        <v>423</v>
      </c>
      <c r="I21">
        <v>1223</v>
      </c>
      <c r="J21">
        <v>58</v>
      </c>
      <c r="K21">
        <v>-26</v>
      </c>
    </row>
    <row r="22" spans="1:11" x14ac:dyDescent="0.3">
      <c r="A22" t="s">
        <v>82</v>
      </c>
      <c r="B22" t="str">
        <f>_xlfn.XLOOKUP(A22,'lookup tables'!$A$2:$A$28,'lookup tables'!$B$2:$B$28,"Not Found",0)</f>
        <v>Subtotal</v>
      </c>
      <c r="C22" t="str">
        <f>_xlfn.XLOOKUP(A22,'lookup tables'!$A$2:$A$28,'lookup tables'!$C$2:$C$28,"Not Found",0)</f>
        <v>Positive</v>
      </c>
      <c r="D22">
        <v>961</v>
      </c>
      <c r="E22">
        <v>1387</v>
      </c>
      <c r="F22">
        <v>1701</v>
      </c>
      <c r="G22">
        <v>1864</v>
      </c>
      <c r="H22">
        <v>353</v>
      </c>
      <c r="I22">
        <v>1455</v>
      </c>
      <c r="J22">
        <v>58</v>
      </c>
      <c r="K22">
        <v>-26</v>
      </c>
    </row>
    <row r="23" spans="1:11" x14ac:dyDescent="0.3">
      <c r="A23" t="s">
        <v>331</v>
      </c>
      <c r="B23" t="str">
        <f>_xlfn.XLOOKUP(A23,'lookup tables'!$A$2:$A$28,'lookup tables'!$B$2:$B$28,"Not Found",0)</f>
        <v>Subtotal</v>
      </c>
      <c r="C23" t="str">
        <f>_xlfn.XLOOKUP(A23,'lookup tables'!$A$2:$A$28,'lookup tables'!$C$2:$C$28,"Not Found",0)</f>
        <v>Negative</v>
      </c>
      <c r="D23">
        <v>-12</v>
      </c>
      <c r="E23">
        <v>-14</v>
      </c>
      <c r="F23">
        <v>-11</v>
      </c>
      <c r="G23">
        <v>-9</v>
      </c>
      <c r="H23">
        <v>-6</v>
      </c>
      <c r="I23">
        <v>-8</v>
      </c>
      <c r="J23">
        <v>-8</v>
      </c>
      <c r="K23">
        <v>-7</v>
      </c>
    </row>
    <row r="24" spans="1:11" x14ac:dyDescent="0.3">
      <c r="A24" t="s">
        <v>332</v>
      </c>
      <c r="B24" t="str">
        <f>_xlfn.XLOOKUP(A24,'lookup tables'!$A$2:$A$28,'lookup tables'!$B$2:$B$28,"Not Found",0)</f>
        <v>Subtotal</v>
      </c>
      <c r="C24" t="str">
        <f>_xlfn.XLOOKUP(A24,'lookup tables'!$A$2:$A$28,'lookup tables'!$C$2:$C$28,"Not Found",0)</f>
        <v>Positive</v>
      </c>
      <c r="D24">
        <v>949</v>
      </c>
      <c r="E24">
        <v>1373</v>
      </c>
      <c r="F24">
        <v>1690</v>
      </c>
      <c r="G24">
        <v>1855</v>
      </c>
      <c r="H24">
        <v>347</v>
      </c>
      <c r="I24">
        <v>1447</v>
      </c>
      <c r="J24">
        <v>50</v>
      </c>
      <c r="K24">
        <v>-33</v>
      </c>
    </row>
    <row r="25" spans="1:11" x14ac:dyDescent="0.3">
      <c r="A25" t="s">
        <v>96</v>
      </c>
      <c r="B25" t="str">
        <f>_xlfn.XLOOKUP(A25,'lookup tables'!$A$2:$A$28,'lookup tables'!$B$2:$B$28,"Not Found",0)</f>
        <v>Per share</v>
      </c>
      <c r="C25" t="str">
        <f>_xlfn.XLOOKUP(A25,'lookup tables'!$A$2:$A$28,'lookup tables'!$C$2:$C$28,"Not Found",0)</f>
        <v>Positive</v>
      </c>
      <c r="D25">
        <v>4.72</v>
      </c>
      <c r="E25">
        <v>6.78</v>
      </c>
      <c r="F25">
        <v>8.4499999999999993</v>
      </c>
      <c r="G25">
        <v>9.48</v>
      </c>
      <c r="H25">
        <v>1.79</v>
      </c>
      <c r="I25">
        <v>7.39</v>
      </c>
      <c r="J25">
        <v>0.27</v>
      </c>
      <c r="K25">
        <v>-0.18</v>
      </c>
    </row>
    <row r="26" spans="1:11" x14ac:dyDescent="0.3">
      <c r="A26" t="s">
        <v>333</v>
      </c>
      <c r="B26" t="str">
        <f>_xlfn.XLOOKUP(A26,'lookup tables'!$A$2:$A$28,'lookup tables'!$B$2:$B$28,"Not Found",0)</f>
        <v>Per share</v>
      </c>
      <c r="C26" t="str">
        <f>_xlfn.XLOOKUP(A26,'lookup tables'!$A$2:$A$28,'lookup tables'!$C$2:$C$28,"Not Found",0)</f>
        <v>Positive</v>
      </c>
      <c r="D26">
        <v>4.7</v>
      </c>
      <c r="E26">
        <v>6.75</v>
      </c>
      <c r="F26">
        <v>8.42</v>
      </c>
      <c r="G26">
        <v>9.44</v>
      </c>
      <c r="H26">
        <v>1.78</v>
      </c>
      <c r="I26">
        <v>7.36</v>
      </c>
      <c r="J26">
        <v>0.27</v>
      </c>
      <c r="K26">
        <v>-0.18</v>
      </c>
    </row>
    <row r="27" spans="1:11" x14ac:dyDescent="0.3">
      <c r="A27" t="s">
        <v>335</v>
      </c>
      <c r="B27" t="str">
        <f>_xlfn.XLOOKUP(A27,'lookup tables'!$A$2:$A$28,'lookup tables'!$B$2:$B$28,"Not Found",0)</f>
        <v>Not Found</v>
      </c>
      <c r="C27" t="str">
        <f>_xlfn.XLOOKUP(A27,'lookup tables'!$A$2:$A$28,'lookup tables'!$C$2:$C$28,"Not Found",0)</f>
        <v>Not Found</v>
      </c>
      <c r="D27">
        <v>201</v>
      </c>
      <c r="E27">
        <v>202.5</v>
      </c>
      <c r="F27">
        <v>200</v>
      </c>
      <c r="G27">
        <v>195.7</v>
      </c>
      <c r="H27">
        <v>194.3</v>
      </c>
      <c r="I27">
        <v>195.8</v>
      </c>
      <c r="J27">
        <v>183.5</v>
      </c>
      <c r="K27">
        <v>178.6</v>
      </c>
    </row>
    <row r="28" spans="1:11" x14ac:dyDescent="0.3">
      <c r="A28" t="s">
        <v>336</v>
      </c>
      <c r="B28" t="str">
        <f>_xlfn.XLOOKUP(A28,'lookup tables'!$A$2:$A$28,'lookup tables'!$B$2:$B$28,"Not Found",0)</f>
        <v>Not Found</v>
      </c>
      <c r="C28" t="str">
        <f>_xlfn.XLOOKUP(A28,'lookup tables'!$A$2:$A$28,'lookup tables'!$C$2:$C$28,"Not Found",0)</f>
        <v>Not Found</v>
      </c>
      <c r="D28">
        <v>201.8</v>
      </c>
      <c r="E28">
        <v>203.3</v>
      </c>
      <c r="F28">
        <v>200.8</v>
      </c>
      <c r="G28">
        <v>196.5</v>
      </c>
      <c r="H28">
        <v>195.1</v>
      </c>
      <c r="I28">
        <v>196.6</v>
      </c>
      <c r="J28">
        <v>184.2</v>
      </c>
      <c r="K28">
        <v>179.3</v>
      </c>
    </row>
    <row r="29" spans="1:11" x14ac:dyDescent="0.3">
      <c r="A29" t="s">
        <v>334</v>
      </c>
      <c r="B29" t="str">
        <f>_xlfn.XLOOKUP(A29,'lookup tables'!$A$2:$A$28,'lookup tables'!$B$2:$B$28,"Not Found",0)</f>
        <v>Per share</v>
      </c>
      <c r="C29" t="str">
        <f>_xlfn.XLOOKUP(A29,'lookup tables'!$A$2:$A$28,'lookup tables'!$C$2:$C$28,"Not Found",0)</f>
        <v>Positive</v>
      </c>
      <c r="D29">
        <v>2</v>
      </c>
      <c r="E29">
        <v>2.6</v>
      </c>
      <c r="F29">
        <v>3.35</v>
      </c>
      <c r="G29">
        <v>3.85</v>
      </c>
      <c r="H29">
        <v>0</v>
      </c>
      <c r="I29">
        <v>3.3</v>
      </c>
      <c r="J29">
        <v>0.7</v>
      </c>
      <c r="K29">
        <v>0.7</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6F8F-518A-4273-8BC5-D1DEE58CB9C2}">
  <dimension ref="A1:C7"/>
  <sheetViews>
    <sheetView workbookViewId="0">
      <selection sqref="A1:C7"/>
    </sheetView>
  </sheetViews>
  <sheetFormatPr defaultRowHeight="14.4" x14ac:dyDescent="0.3"/>
  <cols>
    <col min="1" max="1" width="21.21875" customWidth="1"/>
    <col min="2" max="2" width="22.109375" customWidth="1"/>
    <col min="3" max="3" width="17.21875" customWidth="1"/>
  </cols>
  <sheetData>
    <row r="1" spans="1:3" x14ac:dyDescent="0.3">
      <c r="A1" t="s">
        <v>285</v>
      </c>
      <c r="B1" t="s">
        <v>286</v>
      </c>
      <c r="C1" t="s">
        <v>287</v>
      </c>
    </row>
    <row r="2" spans="1:3" x14ac:dyDescent="0.3">
      <c r="A2" t="s">
        <v>277</v>
      </c>
      <c r="B2" s="16">
        <v>8369</v>
      </c>
      <c r="C2" s="16">
        <v>7585</v>
      </c>
    </row>
    <row r="3" spans="1:3" x14ac:dyDescent="0.3">
      <c r="A3" t="s">
        <v>270</v>
      </c>
      <c r="B3" s="16">
        <v>4917</v>
      </c>
      <c r="C3" s="16">
        <v>5142</v>
      </c>
    </row>
    <row r="4" spans="1:3" x14ac:dyDescent="0.3">
      <c r="A4" t="s">
        <v>278</v>
      </c>
      <c r="B4" s="16">
        <v>4728</v>
      </c>
      <c r="C4" s="16">
        <v>3257</v>
      </c>
    </row>
    <row r="5" spans="1:3" x14ac:dyDescent="0.3">
      <c r="A5" t="s">
        <v>279</v>
      </c>
      <c r="B5" s="16">
        <v>2931</v>
      </c>
      <c r="C5" s="16">
        <v>2807</v>
      </c>
    </row>
    <row r="6" spans="1:3" x14ac:dyDescent="0.3">
      <c r="A6" t="s">
        <v>273</v>
      </c>
      <c r="B6" s="16">
        <v>1726</v>
      </c>
      <c r="C6" s="16">
        <v>2057</v>
      </c>
    </row>
    <row r="7" spans="1:3" x14ac:dyDescent="0.3">
      <c r="A7" t="s">
        <v>152</v>
      </c>
      <c r="B7">
        <v>969</v>
      </c>
      <c r="C7">
        <v>579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8B60-B5F9-442C-9C91-79CD155E6A23}">
  <dimension ref="A1:I7"/>
  <sheetViews>
    <sheetView workbookViewId="0">
      <selection activeCell="B1" sqref="B1:I1"/>
    </sheetView>
  </sheetViews>
  <sheetFormatPr defaultRowHeight="14.4" x14ac:dyDescent="0.3"/>
  <sheetData>
    <row r="1" spans="1:9" x14ac:dyDescent="0.3">
      <c r="A1" s="9" t="s">
        <v>285</v>
      </c>
      <c r="B1" s="9" t="s">
        <v>46</v>
      </c>
      <c r="C1" s="9" t="s">
        <v>47</v>
      </c>
      <c r="D1" s="9" t="s">
        <v>48</v>
      </c>
      <c r="E1" s="9" t="s">
        <v>49</v>
      </c>
      <c r="F1" s="9" t="s">
        <v>50</v>
      </c>
      <c r="G1" s="9" t="s">
        <v>51</v>
      </c>
      <c r="H1" s="9" t="s">
        <v>52</v>
      </c>
      <c r="I1" s="9" t="s">
        <v>53</v>
      </c>
    </row>
    <row r="2" spans="1:9" x14ac:dyDescent="0.3">
      <c r="A2" s="9" t="s">
        <v>277</v>
      </c>
      <c r="B2" s="41">
        <v>7393</v>
      </c>
      <c r="C2" s="41">
        <v>7956</v>
      </c>
      <c r="D2" s="41">
        <v>7955</v>
      </c>
      <c r="E2" s="41">
        <v>8369</v>
      </c>
      <c r="F2" s="41">
        <v>7005</v>
      </c>
      <c r="G2" s="41">
        <v>7432</v>
      </c>
      <c r="H2" s="41">
        <v>7879</v>
      </c>
      <c r="I2" s="41">
        <v>7585</v>
      </c>
    </row>
    <row r="3" spans="1:9" x14ac:dyDescent="0.3">
      <c r="A3" s="9" t="s">
        <v>270</v>
      </c>
      <c r="B3" s="41">
        <v>3068</v>
      </c>
      <c r="C3" s="41">
        <v>3947</v>
      </c>
      <c r="D3" s="41">
        <v>4361</v>
      </c>
      <c r="E3" s="41">
        <v>4917</v>
      </c>
      <c r="F3" s="41">
        <v>4127</v>
      </c>
      <c r="G3" s="41">
        <v>5330</v>
      </c>
      <c r="H3" s="41">
        <v>5921</v>
      </c>
      <c r="I3" s="41">
        <v>5142</v>
      </c>
    </row>
    <row r="4" spans="1:9" x14ac:dyDescent="0.3">
      <c r="A4" s="9" t="s">
        <v>278</v>
      </c>
      <c r="B4" s="41">
        <v>2976</v>
      </c>
      <c r="C4" s="41">
        <v>3756</v>
      </c>
      <c r="D4" s="41">
        <v>4164</v>
      </c>
      <c r="E4" s="41">
        <v>4728</v>
      </c>
      <c r="F4" s="41">
        <v>4346</v>
      </c>
      <c r="G4" s="41">
        <v>4247</v>
      </c>
      <c r="H4" s="41">
        <v>3534</v>
      </c>
      <c r="I4" s="41">
        <v>3257</v>
      </c>
    </row>
    <row r="5" spans="1:9" x14ac:dyDescent="0.3">
      <c r="A5" s="9" t="s">
        <v>279</v>
      </c>
      <c r="B5" s="41">
        <v>2421</v>
      </c>
      <c r="C5" s="41">
        <v>2716</v>
      </c>
      <c r="D5" s="41">
        <v>2761</v>
      </c>
      <c r="E5" s="41">
        <v>2931</v>
      </c>
      <c r="F5" s="41">
        <v>2342</v>
      </c>
      <c r="G5" s="41">
        <v>2060</v>
      </c>
      <c r="H5" s="41">
        <v>2656</v>
      </c>
      <c r="I5" s="41">
        <v>2807</v>
      </c>
    </row>
    <row r="6" spans="1:9" x14ac:dyDescent="0.3">
      <c r="A6" s="9" t="s">
        <v>273</v>
      </c>
      <c r="B6" s="41">
        <v>1645</v>
      </c>
      <c r="C6" s="41">
        <v>1740</v>
      </c>
      <c r="D6" s="41">
        <v>1688</v>
      </c>
      <c r="E6" s="41">
        <v>1726</v>
      </c>
      <c r="F6" s="41">
        <v>1310</v>
      </c>
      <c r="G6" s="41">
        <v>1507</v>
      </c>
      <c r="H6" s="41">
        <v>1891</v>
      </c>
      <c r="I6" s="41">
        <v>2057</v>
      </c>
    </row>
    <row r="7" spans="1:9" x14ac:dyDescent="0.3">
      <c r="A7" s="9" t="s">
        <v>152</v>
      </c>
      <c r="B7" s="9">
        <v>980</v>
      </c>
      <c r="C7" s="41">
        <v>1103</v>
      </c>
      <c r="D7" s="9">
        <v>986</v>
      </c>
      <c r="E7" s="9">
        <v>969</v>
      </c>
      <c r="F7" s="9">
        <v>714</v>
      </c>
      <c r="G7" s="9">
        <v>658</v>
      </c>
      <c r="H7" s="9">
        <v>630</v>
      </c>
      <c r="I7" s="9">
        <v>579</v>
      </c>
    </row>
  </sheetData>
  <phoneticPr fontId="16" type="noConversion"/>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1A64-93A0-4FC7-9E8A-BC75DD799717}">
  <dimension ref="A1:I3"/>
  <sheetViews>
    <sheetView workbookViewId="0">
      <selection activeCell="K14" sqref="K14"/>
    </sheetView>
  </sheetViews>
  <sheetFormatPr defaultRowHeight="14.4" x14ac:dyDescent="0.3"/>
  <cols>
    <col min="1" max="1" width="12.44140625" customWidth="1"/>
  </cols>
  <sheetData>
    <row r="1" spans="1:9" ht="15" thickBot="1" x14ac:dyDescent="0.35">
      <c r="A1" s="34" t="s">
        <v>219</v>
      </c>
      <c r="B1" s="60" t="s">
        <v>46</v>
      </c>
      <c r="C1" s="60" t="s">
        <v>47</v>
      </c>
      <c r="D1" s="60" t="s">
        <v>48</v>
      </c>
      <c r="E1" s="60" t="s">
        <v>49</v>
      </c>
      <c r="F1" s="60" t="s">
        <v>50</v>
      </c>
      <c r="G1" s="60" t="s">
        <v>51</v>
      </c>
      <c r="H1" s="60" t="s">
        <v>52</v>
      </c>
      <c r="I1" s="61" t="s">
        <v>53</v>
      </c>
    </row>
    <row r="2" spans="1:9" ht="15" thickTop="1" x14ac:dyDescent="0.3">
      <c r="A2" s="35" t="s">
        <v>220</v>
      </c>
      <c r="B2" s="37" t="s">
        <v>221</v>
      </c>
      <c r="C2" s="37" t="s">
        <v>222</v>
      </c>
      <c r="D2" s="37" t="s">
        <v>223</v>
      </c>
      <c r="E2" s="37" t="s">
        <v>224</v>
      </c>
      <c r="F2" s="37" t="s">
        <v>225</v>
      </c>
      <c r="G2" s="37" t="s">
        <v>226</v>
      </c>
      <c r="H2" s="37" t="s">
        <v>212</v>
      </c>
      <c r="I2" s="37" t="s">
        <v>213</v>
      </c>
    </row>
    <row r="3" spans="1:9" x14ac:dyDescent="0.3">
      <c r="A3" s="35" t="s">
        <v>227</v>
      </c>
      <c r="B3" s="37" t="s">
        <v>229</v>
      </c>
      <c r="C3" s="37" t="s">
        <v>230</v>
      </c>
      <c r="D3" s="37" t="s">
        <v>231</v>
      </c>
      <c r="E3" s="37" t="s">
        <v>232</v>
      </c>
      <c r="F3" s="37" t="s">
        <v>233</v>
      </c>
      <c r="G3" s="37" t="s">
        <v>234</v>
      </c>
      <c r="H3" s="37"/>
      <c r="I3" s="3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51E1-CE0B-440D-BAD9-7417F5960B76}">
  <dimension ref="A1:C9"/>
  <sheetViews>
    <sheetView workbookViewId="0">
      <selection activeCell="G8" sqref="G8"/>
    </sheetView>
  </sheetViews>
  <sheetFormatPr defaultRowHeight="14.4" x14ac:dyDescent="0.3"/>
  <cols>
    <col min="2" max="2" width="20.44140625" customWidth="1"/>
    <col min="3" max="3" width="16.6640625" customWidth="1"/>
  </cols>
  <sheetData>
    <row r="1" spans="1:3" x14ac:dyDescent="0.3">
      <c r="A1" t="s">
        <v>1</v>
      </c>
      <c r="B1" t="s">
        <v>301</v>
      </c>
      <c r="C1" t="s">
        <v>302</v>
      </c>
    </row>
    <row r="2" spans="1:3" x14ac:dyDescent="0.3">
      <c r="A2" t="s">
        <v>46</v>
      </c>
      <c r="B2" s="16">
        <v>18483</v>
      </c>
      <c r="C2" s="16">
        <v>60617</v>
      </c>
    </row>
    <row r="3" spans="1:3" x14ac:dyDescent="0.3">
      <c r="A3" t="s">
        <v>47</v>
      </c>
      <c r="B3" s="16">
        <v>21218</v>
      </c>
      <c r="C3" s="16">
        <v>56888</v>
      </c>
    </row>
    <row r="4" spans="1:3" x14ac:dyDescent="0.3">
      <c r="A4" t="s">
        <v>48</v>
      </c>
      <c r="B4" s="16">
        <v>21915</v>
      </c>
      <c r="C4" s="16">
        <v>57016</v>
      </c>
    </row>
    <row r="5" spans="1:3" x14ac:dyDescent="0.3">
      <c r="A5" t="s">
        <v>49</v>
      </c>
      <c r="B5" s="16">
        <v>23640</v>
      </c>
      <c r="C5" s="16">
        <v>59533</v>
      </c>
    </row>
    <row r="6" spans="1:3" x14ac:dyDescent="0.3">
      <c r="A6" t="s">
        <v>50</v>
      </c>
      <c r="B6" s="16">
        <v>19844</v>
      </c>
      <c r="C6" s="16">
        <v>62285</v>
      </c>
    </row>
    <row r="7" spans="1:3" x14ac:dyDescent="0.3">
      <c r="A7" t="s">
        <v>51</v>
      </c>
      <c r="B7" s="16">
        <v>21234</v>
      </c>
      <c r="C7" s="16">
        <v>61401</v>
      </c>
    </row>
    <row r="8" spans="1:3" x14ac:dyDescent="0.3">
      <c r="A8" t="s">
        <v>52</v>
      </c>
      <c r="B8" s="16">
        <v>22511</v>
      </c>
      <c r="C8" s="16">
        <v>59258</v>
      </c>
    </row>
    <row r="9" spans="1:3" x14ac:dyDescent="0.3">
      <c r="A9" t="s">
        <v>53</v>
      </c>
      <c r="B9" s="16">
        <v>21427</v>
      </c>
      <c r="C9" s="16">
        <v>57069</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69EE-822E-422F-93E8-816A20A9DB1D}">
  <dimension ref="A1:I4"/>
  <sheetViews>
    <sheetView workbookViewId="0">
      <selection activeCell="D1" sqref="D1"/>
    </sheetView>
  </sheetViews>
  <sheetFormatPr defaultRowHeight="14.4" x14ac:dyDescent="0.3"/>
  <cols>
    <col min="1" max="1" width="28.21875" customWidth="1"/>
    <col min="2" max="2" width="12.88671875" customWidth="1"/>
    <col min="3" max="3" width="17.88671875" customWidth="1"/>
    <col min="4" max="4" width="25.44140625" customWidth="1"/>
    <col min="5" max="5" width="12.21875" customWidth="1"/>
  </cols>
  <sheetData>
    <row r="1" spans="1:9" x14ac:dyDescent="0.3">
      <c r="A1" s="34" t="s">
        <v>243</v>
      </c>
      <c r="B1" s="36" t="s">
        <v>46</v>
      </c>
      <c r="C1" s="36" t="s">
        <v>47</v>
      </c>
      <c r="D1" s="36" t="s">
        <v>48</v>
      </c>
      <c r="E1" s="36" t="s">
        <v>49</v>
      </c>
      <c r="F1" s="36" t="s">
        <v>50</v>
      </c>
      <c r="G1" s="36" t="s">
        <v>51</v>
      </c>
      <c r="H1" s="36" t="s">
        <v>52</v>
      </c>
      <c r="I1" s="36" t="s">
        <v>53</v>
      </c>
    </row>
    <row r="2" spans="1:9" x14ac:dyDescent="0.3">
      <c r="A2" s="35" t="s">
        <v>150</v>
      </c>
      <c r="B2" s="37" t="s">
        <v>244</v>
      </c>
      <c r="C2" s="37" t="s">
        <v>245</v>
      </c>
      <c r="D2" s="37" t="s">
        <v>246</v>
      </c>
      <c r="E2" s="37" t="s">
        <v>247</v>
      </c>
      <c r="F2" s="37" t="s">
        <v>248</v>
      </c>
      <c r="G2" s="37" t="s">
        <v>249</v>
      </c>
      <c r="H2" s="37" t="s">
        <v>250</v>
      </c>
      <c r="I2" s="37" t="s">
        <v>251</v>
      </c>
    </row>
    <row r="3" spans="1:9" x14ac:dyDescent="0.3">
      <c r="A3" s="35" t="s">
        <v>151</v>
      </c>
      <c r="B3" s="37" t="s">
        <v>252</v>
      </c>
      <c r="C3" s="37" t="s">
        <v>253</v>
      </c>
      <c r="D3" s="37" t="s">
        <v>254</v>
      </c>
      <c r="E3" s="37" t="s">
        <v>255</v>
      </c>
      <c r="F3" s="37" t="s">
        <v>256</v>
      </c>
      <c r="G3" s="37" t="s">
        <v>257</v>
      </c>
      <c r="H3" s="37" t="s">
        <v>258</v>
      </c>
      <c r="I3" s="37" t="s">
        <v>259</v>
      </c>
    </row>
    <row r="4" spans="1:9" x14ac:dyDescent="0.3">
      <c r="A4" s="35" t="s">
        <v>152</v>
      </c>
      <c r="B4" s="37" t="s">
        <v>260</v>
      </c>
      <c r="C4" s="37" t="s">
        <v>261</v>
      </c>
      <c r="D4" s="37" t="s">
        <v>262</v>
      </c>
      <c r="E4" s="37" t="s">
        <v>263</v>
      </c>
      <c r="F4" s="37" t="s">
        <v>264</v>
      </c>
      <c r="G4" s="37" t="s">
        <v>265</v>
      </c>
      <c r="H4" s="37" t="s">
        <v>266</v>
      </c>
      <c r="I4" s="37" t="s">
        <v>267</v>
      </c>
    </row>
  </sheetData>
  <phoneticPr fontId="1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4B6949-366A-48A5-B5DB-34F9EBEAA3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clean pnl</vt:lpstr>
      <vt:lpstr>lookup tables</vt:lpstr>
      <vt:lpstr>MASTER P&amp;L</vt:lpstr>
      <vt:lpstr>Trend Analysis(Stage4-Q1)</vt:lpstr>
      <vt:lpstr>CAGR(Stage4-Q2)</vt:lpstr>
      <vt:lpstr>Index Tables(Stage4-Q3)</vt:lpstr>
      <vt:lpstr>Stage4-Q4</vt:lpstr>
      <vt:lpstr>Stage4-Q5</vt:lpstr>
      <vt:lpstr>Stage 5 -Q1</vt:lpstr>
      <vt:lpstr>Stage5-Q2</vt:lpstr>
      <vt:lpstr>Stage5-Q3</vt:lpstr>
      <vt:lpstr>Stage5-Q4,Q5</vt:lpstr>
      <vt:lpstr>Stage5-Q6</vt:lpstr>
      <vt:lpstr>Stage6-Q1(1)</vt:lpstr>
      <vt:lpstr>Stage6-Q1(2),Q2</vt:lpstr>
      <vt:lpstr>Stage6-Q4</vt:lpstr>
      <vt:lpstr>Stage6-Q5</vt:lpstr>
      <vt:lpstr>Stage6-Q6</vt:lpstr>
      <vt:lpstr>Formatted Master P&amp;L(Stasge7)</vt:lpstr>
      <vt:lpstr>Stage7-chart1</vt:lpstr>
      <vt:lpstr>Stage7-chart2</vt:lpstr>
      <vt:lpstr>Stage7-chart3</vt:lpstr>
      <vt:lpstr>Stage7-chart4</vt:lpstr>
      <vt:lpstr>summary sheet (Stage7-Q6)</vt:lpstr>
      <vt:lpstr>PBI_Product</vt:lpstr>
      <vt:lpstr>PBI_P&amp;L</vt:lpstr>
      <vt:lpstr>PBI_Region</vt:lpstr>
      <vt:lpstr>PBI_reg</vt:lpstr>
      <vt:lpstr>PBI_Brand</vt:lpstr>
      <vt:lpstr>PBI_Employee</vt:lpstr>
      <vt:lpstr>PBI_DISTRIBUTION CHANNEL</vt:lpstr>
      <vt:lpstr>'summary sheet (Stage7-Q6)'!Print_Area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FATHIMA NASREEN C</cp:lastModifiedBy>
  <dcterms:created xsi:type="dcterms:W3CDTF">2026-09-04T06:10:23Z</dcterms:created>
  <dcterms:modified xsi:type="dcterms:W3CDTF">2026-09-11T07:08:51Z</dcterms:modified>
</cp:coreProperties>
</file>